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0\3勝一\SE-39(彰濱)-溶劑5廠\01.工程圖面\"/>
    </mc:Choice>
  </mc:AlternateContent>
  <xr:revisionPtr revIDLastSave="0" documentId="13_ncr:1_{4111618E-E8D0-427C-836B-912B670191FD}" xr6:coauthVersionLast="47" xr6:coauthVersionMax="47" xr10:uidLastSave="{00000000-0000-0000-0000-000000000000}"/>
  <bookViews>
    <workbookView xWindow="-96" yWindow="-96" windowWidth="23232" windowHeight="12552" activeTab="2" xr2:uid="{AB945AC4-5AC2-8C4F-B2DB-080229000E1F}"/>
  </bookViews>
  <sheets>
    <sheet name="CL.SOL5--20251227" sheetId="1" r:id="rId1"/>
    <sheet name="DWG NO.ALL" sheetId="2" r:id="rId2"/>
    <sheet name="圖號清單" sheetId="3" r:id="rId3"/>
  </sheets>
  <definedNames>
    <definedName name="_xlnm._FilterDatabase" localSheetId="0" hidden="1">'CL.SOL5--20251227'!$A$1:$N$185</definedName>
    <definedName name="_xlnm._FilterDatabase" localSheetId="1" hidden="1">'DWG NO.ALL'!$A$1:$H$313</definedName>
    <definedName name="_xlnm.Print_Titles" localSheetId="2">圖號清單!$1:$3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2" i="2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2" i="1" a="1"/>
  <c r="L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2" i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2" i="1"/>
  <c r="H216" i="2" l="1"/>
  <c r="H306" i="2"/>
  <c r="J306" i="2"/>
  <c r="H296" i="2"/>
  <c r="J296" i="2"/>
  <c r="J286" i="2"/>
  <c r="H276" i="2"/>
  <c r="J276" i="2"/>
  <c r="H266" i="2"/>
  <c r="J266" i="2"/>
  <c r="J256" i="2"/>
  <c r="H246" i="2"/>
  <c r="J246" i="2"/>
  <c r="H236" i="2"/>
  <c r="J236" i="2"/>
  <c r="H226" i="2"/>
  <c r="J226" i="2"/>
  <c r="J216" i="2"/>
  <c r="H206" i="2"/>
  <c r="J206" i="2"/>
  <c r="H196" i="2"/>
  <c r="J196" i="2"/>
  <c r="J186" i="2"/>
  <c r="J176" i="2"/>
  <c r="H166" i="2"/>
  <c r="J166" i="2"/>
  <c r="H156" i="2"/>
  <c r="J156" i="2"/>
  <c r="J146" i="2"/>
  <c r="H136" i="2"/>
  <c r="J136" i="2"/>
  <c r="J126" i="2"/>
  <c r="H116" i="2"/>
  <c r="J116" i="2"/>
  <c r="H106" i="2"/>
  <c r="J106" i="2"/>
  <c r="J96" i="2"/>
  <c r="J86" i="2"/>
  <c r="J76" i="2"/>
  <c r="J66" i="2"/>
  <c r="J56" i="2"/>
  <c r="J46" i="2"/>
  <c r="J36" i="2"/>
  <c r="J26" i="2"/>
  <c r="J16" i="2"/>
  <c r="J6" i="2"/>
  <c r="H66" i="2"/>
  <c r="J305" i="2"/>
  <c r="J295" i="2"/>
  <c r="J285" i="2"/>
  <c r="J275" i="2"/>
  <c r="J265" i="2"/>
  <c r="J255" i="2"/>
  <c r="J245" i="2"/>
  <c r="J235" i="2"/>
  <c r="J225" i="2"/>
  <c r="J215" i="2"/>
  <c r="J205" i="2"/>
  <c r="J195" i="2"/>
  <c r="J185" i="2"/>
  <c r="J175" i="2"/>
  <c r="J165" i="2"/>
  <c r="J155" i="2"/>
  <c r="J145" i="2"/>
  <c r="J135" i="2"/>
  <c r="J125" i="2"/>
  <c r="J115" i="2"/>
  <c r="J105" i="2"/>
  <c r="J95" i="2"/>
  <c r="J85" i="2"/>
  <c r="J75" i="2"/>
  <c r="J65" i="2"/>
  <c r="J55" i="2"/>
  <c r="J45" i="2"/>
  <c r="J35" i="2"/>
  <c r="J25" i="2"/>
  <c r="J15" i="2"/>
  <c r="J5" i="2"/>
  <c r="H176" i="2"/>
  <c r="H2" i="2"/>
  <c r="J2" i="2"/>
  <c r="H304" i="2"/>
  <c r="J304" i="2"/>
  <c r="H294" i="2"/>
  <c r="J294" i="2"/>
  <c r="H284" i="2"/>
  <c r="J284" i="2"/>
  <c r="H274" i="2"/>
  <c r="J274" i="2"/>
  <c r="H264" i="2"/>
  <c r="J264" i="2"/>
  <c r="H254" i="2"/>
  <c r="J254" i="2"/>
  <c r="H244" i="2"/>
  <c r="J244" i="2"/>
  <c r="J234" i="2"/>
  <c r="H224" i="2"/>
  <c r="J224" i="2"/>
  <c r="H214" i="2"/>
  <c r="J214" i="2"/>
  <c r="H204" i="2"/>
  <c r="J204" i="2"/>
  <c r="H194" i="2"/>
  <c r="J194" i="2"/>
  <c r="H184" i="2"/>
  <c r="J184" i="2"/>
  <c r="H174" i="2"/>
  <c r="J174" i="2"/>
  <c r="H164" i="2"/>
  <c r="J164" i="2"/>
  <c r="J154" i="2"/>
  <c r="J144" i="2"/>
  <c r="J134" i="2"/>
  <c r="J124" i="2"/>
  <c r="J114" i="2"/>
  <c r="J104" i="2"/>
  <c r="J94" i="2"/>
  <c r="H84" i="2"/>
  <c r="J84" i="2"/>
  <c r="J74" i="2"/>
  <c r="J64" i="2"/>
  <c r="J54" i="2"/>
  <c r="J44" i="2"/>
  <c r="J34" i="2"/>
  <c r="H24" i="2"/>
  <c r="J24" i="2"/>
  <c r="J14" i="2"/>
  <c r="J4" i="2"/>
  <c r="H46" i="2"/>
  <c r="H16" i="2"/>
  <c r="J313" i="2"/>
  <c r="H303" i="2"/>
  <c r="J303" i="2"/>
  <c r="H293" i="2"/>
  <c r="J293" i="2"/>
  <c r="H283" i="2"/>
  <c r="J283" i="2"/>
  <c r="H273" i="2"/>
  <c r="J273" i="2"/>
  <c r="H263" i="2"/>
  <c r="J263" i="2"/>
  <c r="H253" i="2"/>
  <c r="J253" i="2"/>
  <c r="J243" i="2"/>
  <c r="J233" i="2"/>
  <c r="H223" i="2"/>
  <c r="J223" i="2"/>
  <c r="J213" i="2"/>
  <c r="J203" i="2"/>
  <c r="J193" i="2"/>
  <c r="J183" i="2"/>
  <c r="J173" i="2"/>
  <c r="J163" i="2"/>
  <c r="J153" i="2"/>
  <c r="J143" i="2"/>
  <c r="J133" i="2"/>
  <c r="J123" i="2"/>
  <c r="J113" i="2"/>
  <c r="J103" i="2"/>
  <c r="J93" i="2"/>
  <c r="H83" i="2"/>
  <c r="J83" i="2"/>
  <c r="J73" i="2"/>
  <c r="J63" i="2"/>
  <c r="J53" i="2"/>
  <c r="J43" i="2"/>
  <c r="J33" i="2"/>
  <c r="J23" i="2"/>
  <c r="J13" i="2"/>
  <c r="J3" i="2"/>
  <c r="H76" i="2"/>
  <c r="J312" i="2"/>
  <c r="H302" i="2"/>
  <c r="J302" i="2"/>
  <c r="H292" i="2"/>
  <c r="J292" i="2"/>
  <c r="H282" i="2"/>
  <c r="J282" i="2"/>
  <c r="H272" i="2"/>
  <c r="J272" i="2"/>
  <c r="H262" i="2"/>
  <c r="J262" i="2"/>
  <c r="H252" i="2"/>
  <c r="J252" i="2"/>
  <c r="J242" i="2"/>
  <c r="J232" i="2"/>
  <c r="H222" i="2"/>
  <c r="J222" i="2"/>
  <c r="J212" i="2"/>
  <c r="J202" i="2"/>
  <c r="J192" i="2"/>
  <c r="J182" i="2"/>
  <c r="J172" i="2"/>
  <c r="J162" i="2"/>
  <c r="J152" i="2"/>
  <c r="J142" i="2"/>
  <c r="J132" i="2"/>
  <c r="H122" i="2"/>
  <c r="J122" i="2"/>
  <c r="J112" i="2"/>
  <c r="J102" i="2"/>
  <c r="J92" i="2"/>
  <c r="H82" i="2"/>
  <c r="J82" i="2"/>
  <c r="J72" i="2"/>
  <c r="J62" i="2"/>
  <c r="J52" i="2"/>
  <c r="J42" i="2"/>
  <c r="J32" i="2"/>
  <c r="J22" i="2"/>
  <c r="J12" i="2"/>
  <c r="H146" i="2"/>
  <c r="H56" i="2"/>
  <c r="J311" i="2"/>
  <c r="H301" i="2"/>
  <c r="J301" i="2"/>
  <c r="H291" i="2"/>
  <c r="J291" i="2"/>
  <c r="H281" i="2"/>
  <c r="J281" i="2"/>
  <c r="H271" i="2"/>
  <c r="J271" i="2"/>
  <c r="H261" i="2"/>
  <c r="J261" i="2"/>
  <c r="H251" i="2"/>
  <c r="J251" i="2"/>
  <c r="H241" i="2"/>
  <c r="J241" i="2"/>
  <c r="J231" i="2"/>
  <c r="H221" i="2"/>
  <c r="J221" i="2"/>
  <c r="H211" i="2"/>
  <c r="J211" i="2"/>
  <c r="H201" i="2"/>
  <c r="J201" i="2"/>
  <c r="H191" i="2"/>
  <c r="J191" i="2"/>
  <c r="H181" i="2"/>
  <c r="J181" i="2"/>
  <c r="H171" i="2"/>
  <c r="J171" i="2"/>
  <c r="H161" i="2"/>
  <c r="J161" i="2"/>
  <c r="H151" i="2"/>
  <c r="J151" i="2"/>
  <c r="H141" i="2"/>
  <c r="J141" i="2"/>
  <c r="H131" i="2"/>
  <c r="J131" i="2"/>
  <c r="H121" i="2"/>
  <c r="J121" i="2"/>
  <c r="H111" i="2"/>
  <c r="J111" i="2"/>
  <c r="H101" i="2"/>
  <c r="J101" i="2"/>
  <c r="H91" i="2"/>
  <c r="J91" i="2"/>
  <c r="H81" i="2"/>
  <c r="J81" i="2"/>
  <c r="J71" i="2"/>
  <c r="J61" i="2"/>
  <c r="H51" i="2"/>
  <c r="J51" i="2"/>
  <c r="J41" i="2"/>
  <c r="J31" i="2"/>
  <c r="J21" i="2"/>
  <c r="J11" i="2"/>
  <c r="H256" i="2"/>
  <c r="H36" i="2"/>
  <c r="J310" i="2"/>
  <c r="H300" i="2"/>
  <c r="J300" i="2"/>
  <c r="J290" i="2"/>
  <c r="J280" i="2"/>
  <c r="J270" i="2"/>
  <c r="H260" i="2"/>
  <c r="J260" i="2"/>
  <c r="H250" i="2"/>
  <c r="J250" i="2"/>
  <c r="H240" i="2"/>
  <c r="J240" i="2"/>
  <c r="J230" i="2"/>
  <c r="H220" i="2"/>
  <c r="J220" i="2"/>
  <c r="H210" i="2"/>
  <c r="J210" i="2"/>
  <c r="H200" i="2"/>
  <c r="J200" i="2"/>
  <c r="J190" i="2"/>
  <c r="H180" i="2"/>
  <c r="J180" i="2"/>
  <c r="J170" i="2"/>
  <c r="H160" i="2"/>
  <c r="J160" i="2"/>
  <c r="J150" i="2"/>
  <c r="H140" i="2"/>
  <c r="J140" i="2"/>
  <c r="H130" i="2"/>
  <c r="J130" i="2"/>
  <c r="H120" i="2"/>
  <c r="J120" i="2"/>
  <c r="H110" i="2"/>
  <c r="J110" i="2"/>
  <c r="H100" i="2"/>
  <c r="J100" i="2"/>
  <c r="H90" i="2"/>
  <c r="J90" i="2"/>
  <c r="H80" i="2"/>
  <c r="J80" i="2"/>
  <c r="J70" i="2"/>
  <c r="J60" i="2"/>
  <c r="J50" i="2"/>
  <c r="J40" i="2"/>
  <c r="J30" i="2"/>
  <c r="J20" i="2"/>
  <c r="J10" i="2"/>
  <c r="H286" i="2"/>
  <c r="H6" i="2"/>
  <c r="J309" i="2"/>
  <c r="J299" i="2"/>
  <c r="J289" i="2"/>
  <c r="J279" i="2"/>
  <c r="J269" i="2"/>
  <c r="J259" i="2"/>
  <c r="J249" i="2"/>
  <c r="J239" i="2"/>
  <c r="J229" i="2"/>
  <c r="J219" i="2"/>
  <c r="J209" i="2"/>
  <c r="H199" i="2"/>
  <c r="J199" i="2"/>
  <c r="J189" i="2"/>
  <c r="H179" i="2"/>
  <c r="J179" i="2"/>
  <c r="J169" i="2"/>
  <c r="J159" i="2"/>
  <c r="J149" i="2"/>
  <c r="J139" i="2"/>
  <c r="J129" i="2"/>
  <c r="J119" i="2"/>
  <c r="J109" i="2"/>
  <c r="J99" i="2"/>
  <c r="J89" i="2"/>
  <c r="J79" i="2"/>
  <c r="J69" i="2"/>
  <c r="J59" i="2"/>
  <c r="J49" i="2"/>
  <c r="J39" i="2"/>
  <c r="J29" i="2"/>
  <c r="J19" i="2"/>
  <c r="J9" i="2"/>
  <c r="H186" i="2"/>
  <c r="H126" i="2"/>
  <c r="H86" i="2"/>
  <c r="J308" i="2"/>
  <c r="J298" i="2"/>
  <c r="J288" i="2"/>
  <c r="J278" i="2"/>
  <c r="J268" i="2"/>
  <c r="J258" i="2"/>
  <c r="H248" i="2"/>
  <c r="J248" i="2"/>
  <c r="J238" i="2"/>
  <c r="J228" i="2"/>
  <c r="J218" i="2"/>
  <c r="J208" i="2"/>
  <c r="J198" i="2"/>
  <c r="J188" i="2"/>
  <c r="H178" i="2"/>
  <c r="J178" i="2"/>
  <c r="J168" i="2"/>
  <c r="H158" i="2"/>
  <c r="J158" i="2"/>
  <c r="J148" i="2"/>
  <c r="J138" i="2"/>
  <c r="J128" i="2"/>
  <c r="J118" i="2"/>
  <c r="J108" i="2"/>
  <c r="J98" i="2"/>
  <c r="J88" i="2"/>
  <c r="J78" i="2"/>
  <c r="H68" i="2"/>
  <c r="J68" i="2"/>
  <c r="J58" i="2"/>
  <c r="J48" i="2"/>
  <c r="J38" i="2"/>
  <c r="J28" i="2"/>
  <c r="J18" i="2"/>
  <c r="J8" i="2"/>
  <c r="H96" i="2"/>
  <c r="H26" i="2"/>
  <c r="J307" i="2"/>
  <c r="J297" i="2"/>
  <c r="J287" i="2"/>
  <c r="J277" i="2"/>
  <c r="J267" i="2"/>
  <c r="J257" i="2"/>
  <c r="J247" i="2"/>
  <c r="J237" i="2"/>
  <c r="J227" i="2"/>
  <c r="J217" i="2"/>
  <c r="J207" i="2"/>
  <c r="J197" i="2"/>
  <c r="J187" i="2"/>
  <c r="J177" i="2"/>
  <c r="J167" i="2"/>
  <c r="H157" i="2"/>
  <c r="J157" i="2"/>
  <c r="J147" i="2"/>
  <c r="J137" i="2"/>
  <c r="J127" i="2"/>
  <c r="J117" i="2"/>
  <c r="J107" i="2"/>
  <c r="J97" i="2"/>
  <c r="J87" i="2"/>
  <c r="J77" i="2"/>
  <c r="J67" i="2"/>
  <c r="J57" i="2"/>
  <c r="J47" i="2"/>
  <c r="J37" i="2"/>
  <c r="J27" i="2"/>
  <c r="J17" i="2"/>
  <c r="J7" i="2"/>
  <c r="H310" i="2"/>
  <c r="H307" i="2"/>
  <c r="H297" i="2"/>
  <c r="H287" i="2"/>
  <c r="H277" i="2"/>
  <c r="H267" i="2"/>
  <c r="H257" i="2"/>
  <c r="H237" i="2"/>
  <c r="H227" i="2"/>
  <c r="H217" i="2"/>
  <c r="H207" i="2"/>
  <c r="H197" i="2"/>
  <c r="H187" i="2"/>
  <c r="H177" i="2"/>
  <c r="H167" i="2"/>
  <c r="H147" i="2"/>
  <c r="H137" i="2"/>
  <c r="H127" i="2"/>
  <c r="H117" i="2"/>
  <c r="H107" i="2"/>
  <c r="H97" i="2"/>
  <c r="H87" i="2"/>
  <c r="H77" i="2"/>
  <c r="H67" i="2"/>
  <c r="H57" i="2"/>
  <c r="H47" i="2"/>
  <c r="H37" i="2"/>
  <c r="H27" i="2"/>
  <c r="H17" i="2"/>
  <c r="H7" i="2"/>
  <c r="H231" i="2"/>
  <c r="H270" i="2"/>
  <c r="H170" i="2"/>
  <c r="H247" i="2"/>
  <c r="H311" i="2"/>
  <c r="H290" i="2"/>
  <c r="H230" i="2"/>
  <c r="H150" i="2"/>
  <c r="H305" i="2"/>
  <c r="H295" i="2"/>
  <c r="H285" i="2"/>
  <c r="H275" i="2"/>
  <c r="H265" i="2"/>
  <c r="H255" i="2"/>
  <c r="H245" i="2"/>
  <c r="H235" i="2"/>
  <c r="H225" i="2"/>
  <c r="H215" i="2"/>
  <c r="H205" i="2"/>
  <c r="H195" i="2"/>
  <c r="H185" i="2"/>
  <c r="H175" i="2"/>
  <c r="H165" i="2"/>
  <c r="H155" i="2"/>
  <c r="H145" i="2"/>
  <c r="H135" i="2"/>
  <c r="H125" i="2"/>
  <c r="H115" i="2"/>
  <c r="H105" i="2"/>
  <c r="H95" i="2"/>
  <c r="H85" i="2"/>
  <c r="H75" i="2"/>
  <c r="H65" i="2"/>
  <c r="H55" i="2"/>
  <c r="H45" i="2"/>
  <c r="H35" i="2"/>
  <c r="H25" i="2"/>
  <c r="H15" i="2"/>
  <c r="H5" i="2"/>
  <c r="H154" i="2"/>
  <c r="H144" i="2"/>
  <c r="H134" i="2"/>
  <c r="H124" i="2"/>
  <c r="H114" i="2"/>
  <c r="H104" i="2"/>
  <c r="H94" i="2"/>
  <c r="H74" i="2"/>
  <c r="H64" i="2"/>
  <c r="H54" i="2"/>
  <c r="H44" i="2"/>
  <c r="H34" i="2"/>
  <c r="H14" i="2"/>
  <c r="H4" i="2"/>
  <c r="H243" i="2"/>
  <c r="H233" i="2"/>
  <c r="H213" i="2"/>
  <c r="H203" i="2"/>
  <c r="H193" i="2"/>
  <c r="H183" i="2"/>
  <c r="H173" i="2"/>
  <c r="H163" i="2"/>
  <c r="H153" i="2"/>
  <c r="H143" i="2"/>
  <c r="H133" i="2"/>
  <c r="H123" i="2"/>
  <c r="H113" i="2"/>
  <c r="H103" i="2"/>
  <c r="H93" i="2"/>
  <c r="H73" i="2"/>
  <c r="H63" i="2"/>
  <c r="H53" i="2"/>
  <c r="H43" i="2"/>
  <c r="H33" i="2"/>
  <c r="H23" i="2"/>
  <c r="H13" i="2"/>
  <c r="H3" i="2"/>
  <c r="H234" i="2"/>
  <c r="H313" i="2"/>
  <c r="H312" i="2"/>
  <c r="H242" i="2"/>
  <c r="H232" i="2"/>
  <c r="H212" i="2"/>
  <c r="H202" i="2"/>
  <c r="H192" i="2"/>
  <c r="H182" i="2"/>
  <c r="H172" i="2"/>
  <c r="H162" i="2"/>
  <c r="H152" i="2"/>
  <c r="H142" i="2"/>
  <c r="H132" i="2"/>
  <c r="H112" i="2"/>
  <c r="H102" i="2"/>
  <c r="H92" i="2"/>
  <c r="H72" i="2"/>
  <c r="H62" i="2"/>
  <c r="H52" i="2"/>
  <c r="H42" i="2"/>
  <c r="H32" i="2"/>
  <c r="H22" i="2"/>
  <c r="H12" i="2"/>
  <c r="H71" i="2"/>
  <c r="H61" i="2"/>
  <c r="H41" i="2"/>
  <c r="H31" i="2"/>
  <c r="H21" i="2"/>
  <c r="H11" i="2"/>
  <c r="H70" i="2"/>
  <c r="H60" i="2"/>
  <c r="H50" i="2"/>
  <c r="H40" i="2"/>
  <c r="H30" i="2"/>
  <c r="H20" i="2"/>
  <c r="H10" i="2"/>
  <c r="H309" i="2"/>
  <c r="H299" i="2"/>
  <c r="H289" i="2"/>
  <c r="H279" i="2"/>
  <c r="H269" i="2"/>
  <c r="H259" i="2"/>
  <c r="H249" i="2"/>
  <c r="H239" i="2"/>
  <c r="H229" i="2"/>
  <c r="H219" i="2"/>
  <c r="H209" i="2"/>
  <c r="H189" i="2"/>
  <c r="H169" i="2"/>
  <c r="H159" i="2"/>
  <c r="H149" i="2"/>
  <c r="H139" i="2"/>
  <c r="H129" i="2"/>
  <c r="H119" i="2"/>
  <c r="H109" i="2"/>
  <c r="H99" i="2"/>
  <c r="H89" i="2"/>
  <c r="H79" i="2"/>
  <c r="H69" i="2"/>
  <c r="H59" i="2"/>
  <c r="H49" i="2"/>
  <c r="H39" i="2"/>
  <c r="H29" i="2"/>
  <c r="H19" i="2"/>
  <c r="H9" i="2"/>
  <c r="H280" i="2"/>
  <c r="H190" i="2"/>
  <c r="H308" i="2"/>
  <c r="H298" i="2"/>
  <c r="H288" i="2"/>
  <c r="H278" i="2"/>
  <c r="H268" i="2"/>
  <c r="H258" i="2"/>
  <c r="H238" i="2"/>
  <c r="H228" i="2"/>
  <c r="H218" i="2"/>
  <c r="H208" i="2"/>
  <c r="H198" i="2"/>
  <c r="H188" i="2"/>
  <c r="H168" i="2"/>
  <c r="H148" i="2"/>
  <c r="H138" i="2"/>
  <c r="H128" i="2"/>
  <c r="H118" i="2"/>
  <c r="H108" i="2"/>
  <c r="H98" i="2"/>
  <c r="H88" i="2"/>
  <c r="H78" i="2"/>
  <c r="H58" i="2"/>
  <c r="H48" i="2"/>
  <c r="H38" i="2"/>
  <c r="H28" i="2"/>
  <c r="H18" i="2"/>
  <c r="H8" i="2"/>
  <c r="N184" i="1"/>
  <c r="N174" i="1"/>
  <c r="N164" i="1"/>
  <c r="N154" i="1"/>
  <c r="N144" i="1"/>
  <c r="N134" i="1"/>
  <c r="N124" i="1"/>
  <c r="N114" i="1"/>
  <c r="N104" i="1"/>
  <c r="N94" i="1"/>
  <c r="N84" i="1"/>
  <c r="N74" i="1"/>
  <c r="N54" i="1"/>
  <c r="N44" i="1"/>
  <c r="N34" i="1"/>
  <c r="N24" i="1"/>
  <c r="N14" i="1"/>
  <c r="N4" i="1"/>
  <c r="N64" i="1"/>
  <c r="N185" i="1"/>
  <c r="N175" i="1"/>
  <c r="N165" i="1"/>
  <c r="N155" i="1"/>
  <c r="N145" i="1"/>
  <c r="N135" i="1"/>
  <c r="N177" i="1"/>
  <c r="N167" i="1"/>
  <c r="N157" i="1"/>
  <c r="N147" i="1"/>
  <c r="N137" i="1"/>
  <c r="N159" i="1"/>
  <c r="N107" i="1"/>
  <c r="N67" i="1"/>
  <c r="N2" i="1"/>
  <c r="N176" i="1"/>
  <c r="N166" i="1"/>
  <c r="N156" i="1"/>
  <c r="N146" i="1"/>
  <c r="N136" i="1"/>
  <c r="N126" i="1"/>
  <c r="N116" i="1"/>
  <c r="N106" i="1"/>
  <c r="N96" i="1"/>
  <c r="N86" i="1"/>
  <c r="N76" i="1"/>
  <c r="N66" i="1"/>
  <c r="N56" i="1"/>
  <c r="N46" i="1"/>
  <c r="N36" i="1"/>
  <c r="N26" i="1"/>
  <c r="N16" i="1"/>
  <c r="N6" i="1"/>
  <c r="N125" i="1"/>
  <c r="N115" i="1"/>
  <c r="N105" i="1"/>
  <c r="N95" i="1"/>
  <c r="N85" i="1"/>
  <c r="N75" i="1"/>
  <c r="N65" i="1"/>
  <c r="N55" i="1"/>
  <c r="N45" i="1"/>
  <c r="N35" i="1"/>
  <c r="N25" i="1"/>
  <c r="N15" i="1"/>
  <c r="N5" i="1"/>
  <c r="N173" i="1"/>
  <c r="N163" i="1"/>
  <c r="N153" i="1"/>
  <c r="N143" i="1"/>
  <c r="N133" i="1"/>
  <c r="N123" i="1"/>
  <c r="N113" i="1"/>
  <c r="N103" i="1"/>
  <c r="N93" i="1"/>
  <c r="N83" i="1"/>
  <c r="N73" i="1"/>
  <c r="N63" i="1"/>
  <c r="N53" i="1"/>
  <c r="N43" i="1"/>
  <c r="N33" i="1"/>
  <c r="N23" i="1"/>
  <c r="N13" i="1"/>
  <c r="N3" i="1"/>
  <c r="N182" i="1"/>
  <c r="N172" i="1"/>
  <c r="N162" i="1"/>
  <c r="N152" i="1"/>
  <c r="N142" i="1"/>
  <c r="N132" i="1"/>
  <c r="N122" i="1"/>
  <c r="N112" i="1"/>
  <c r="N102" i="1"/>
  <c r="N92" i="1"/>
  <c r="N82" i="1"/>
  <c r="N72" i="1"/>
  <c r="N62" i="1"/>
  <c r="N52" i="1"/>
  <c r="N42" i="1"/>
  <c r="N32" i="1"/>
  <c r="N22" i="1"/>
  <c r="N12" i="1"/>
  <c r="E262" i="2"/>
  <c r="F262" i="2" s="1"/>
  <c r="E242" i="2"/>
  <c r="F242" i="2" s="1"/>
  <c r="E232" i="2"/>
  <c r="F232" i="2" s="1"/>
  <c r="E212" i="2"/>
  <c r="F212" i="2" s="1"/>
  <c r="E162" i="2"/>
  <c r="F162" i="2" s="1"/>
  <c r="N183" i="1"/>
  <c r="N181" i="1"/>
  <c r="N171" i="1"/>
  <c r="N161" i="1"/>
  <c r="N151" i="1"/>
  <c r="N141" i="1"/>
  <c r="N131" i="1"/>
  <c r="N121" i="1"/>
  <c r="N111" i="1"/>
  <c r="N101" i="1"/>
  <c r="N91" i="1"/>
  <c r="N81" i="1"/>
  <c r="N71" i="1"/>
  <c r="N61" i="1"/>
  <c r="N51" i="1"/>
  <c r="N41" i="1"/>
  <c r="N31" i="1"/>
  <c r="N21" i="1"/>
  <c r="N11" i="1"/>
  <c r="N180" i="1"/>
  <c r="N170" i="1"/>
  <c r="N160" i="1"/>
  <c r="N150" i="1"/>
  <c r="N140" i="1"/>
  <c r="N130" i="1"/>
  <c r="N120" i="1"/>
  <c r="N110" i="1"/>
  <c r="N100" i="1"/>
  <c r="N90" i="1"/>
  <c r="N80" i="1"/>
  <c r="N70" i="1"/>
  <c r="N60" i="1"/>
  <c r="N50" i="1"/>
  <c r="N40" i="1"/>
  <c r="N30" i="1"/>
  <c r="N20" i="1"/>
  <c r="N10" i="1"/>
  <c r="N179" i="1"/>
  <c r="N169" i="1"/>
  <c r="N129" i="1"/>
  <c r="N99" i="1"/>
  <c r="N89" i="1"/>
  <c r="N79" i="1"/>
  <c r="N69" i="1"/>
  <c r="N59" i="1"/>
  <c r="N49" i="1"/>
  <c r="N39" i="1"/>
  <c r="N29" i="1"/>
  <c r="N19" i="1"/>
  <c r="N9" i="1"/>
  <c r="E289" i="2"/>
  <c r="F289" i="2" s="1"/>
  <c r="N149" i="1"/>
  <c r="N139" i="1"/>
  <c r="N119" i="1"/>
  <c r="N109" i="1"/>
  <c r="N178" i="1"/>
  <c r="N168" i="1"/>
  <c r="N158" i="1"/>
  <c r="N148" i="1"/>
  <c r="N138" i="1"/>
  <c r="N128" i="1"/>
  <c r="N118" i="1"/>
  <c r="N108" i="1"/>
  <c r="N98" i="1"/>
  <c r="N88" i="1"/>
  <c r="N78" i="1"/>
  <c r="N68" i="1"/>
  <c r="N58" i="1"/>
  <c r="N48" i="1"/>
  <c r="N38" i="1"/>
  <c r="N28" i="1"/>
  <c r="N18" i="1"/>
  <c r="N8" i="1"/>
  <c r="E298" i="2"/>
  <c r="F298" i="2" s="1"/>
  <c r="E248" i="2"/>
  <c r="F248" i="2" s="1"/>
  <c r="E218" i="2"/>
  <c r="F218" i="2" s="1"/>
  <c r="E198" i="2"/>
  <c r="F198" i="2" s="1"/>
  <c r="N127" i="1"/>
  <c r="N117" i="1"/>
  <c r="N97" i="1"/>
  <c r="N87" i="1"/>
  <c r="N77" i="1"/>
  <c r="N57" i="1"/>
  <c r="N47" i="1"/>
  <c r="N37" i="1"/>
  <c r="N27" i="1"/>
  <c r="N17" i="1"/>
  <c r="N7" i="1"/>
  <c r="E97" i="2"/>
  <c r="F97" i="2" s="1"/>
  <c r="E309" i="2"/>
  <c r="F309" i="2" s="1"/>
  <c r="E299" i="2"/>
  <c r="F299" i="2" s="1"/>
  <c r="E287" i="2"/>
  <c r="F287" i="2" s="1"/>
  <c r="E257" i="2"/>
  <c r="F257" i="2" s="1"/>
  <c r="E227" i="2"/>
  <c r="F227" i="2" s="1"/>
  <c r="E217" i="2"/>
  <c r="F217" i="2" s="1"/>
  <c r="E207" i="2"/>
  <c r="F207" i="2" s="1"/>
  <c r="E197" i="2"/>
  <c r="F197" i="2" s="1"/>
  <c r="E117" i="2"/>
  <c r="F117" i="2" s="1"/>
  <c r="E286" i="2"/>
  <c r="F286" i="2" s="1"/>
  <c r="E256" i="2"/>
  <c r="F256" i="2" s="1"/>
  <c r="E246" i="2"/>
  <c r="F246" i="2" s="1"/>
  <c r="E164" i="2"/>
  <c r="F164" i="2" s="1"/>
  <c r="E233" i="2"/>
  <c r="F233" i="2" s="1"/>
  <c r="E223" i="2"/>
  <c r="F223" i="2" s="1"/>
  <c r="E213" i="2"/>
  <c r="F213" i="2" s="1"/>
  <c r="E203" i="2"/>
  <c r="F203" i="2" s="1"/>
  <c r="E193" i="2"/>
  <c r="F193" i="2" s="1"/>
  <c r="E163" i="2"/>
  <c r="F163" i="2" s="1"/>
  <c r="E153" i="2"/>
  <c r="F153" i="2" s="1"/>
  <c r="E143" i="2"/>
  <c r="F143" i="2" s="1"/>
  <c r="E93" i="2"/>
  <c r="F93" i="2" s="1"/>
  <c r="E33" i="2"/>
  <c r="F33" i="2" s="1"/>
  <c r="E238" i="2"/>
  <c r="F238" i="2" s="1"/>
  <c r="E157" i="2"/>
  <c r="F157" i="2" s="1"/>
  <c r="E206" i="2"/>
  <c r="F206" i="2" s="1"/>
  <c r="E264" i="2"/>
  <c r="F264" i="2" s="1"/>
  <c r="E234" i="2"/>
  <c r="F234" i="2" s="1"/>
  <c r="E243" i="2"/>
  <c r="F243" i="2" s="1"/>
  <c r="E133" i="2"/>
  <c r="F133" i="2" s="1"/>
  <c r="E73" i="2"/>
  <c r="F73" i="2" s="1"/>
  <c r="E278" i="2"/>
  <c r="F278" i="2" s="1"/>
  <c r="E247" i="2"/>
  <c r="F247" i="2" s="1"/>
  <c r="E147" i="2"/>
  <c r="F147" i="2" s="1"/>
  <c r="E107" i="2"/>
  <c r="F107" i="2" s="1"/>
  <c r="E306" i="2"/>
  <c r="F306" i="2" s="1"/>
  <c r="E276" i="2"/>
  <c r="F276" i="2" s="1"/>
  <c r="E80" i="2"/>
  <c r="F80" i="2" s="1"/>
  <c r="E304" i="2"/>
  <c r="F304" i="2" s="1"/>
  <c r="E294" i="2"/>
  <c r="F294" i="2" s="1"/>
  <c r="E284" i="2"/>
  <c r="F284" i="2" s="1"/>
  <c r="E274" i="2"/>
  <c r="F274" i="2" s="1"/>
  <c r="E194" i="2"/>
  <c r="F194" i="2" s="1"/>
  <c r="E114" i="2"/>
  <c r="F114" i="2" s="1"/>
  <c r="E293" i="2"/>
  <c r="F293" i="2" s="1"/>
  <c r="E283" i="2"/>
  <c r="F283" i="2" s="1"/>
  <c r="E273" i="2"/>
  <c r="F273" i="2" s="1"/>
  <c r="E263" i="2"/>
  <c r="F263" i="2" s="1"/>
  <c r="E253" i="2"/>
  <c r="F253" i="2" s="1"/>
  <c r="E83" i="2"/>
  <c r="F83" i="2" s="1"/>
  <c r="E279" i="2"/>
  <c r="F279" i="2" s="1"/>
  <c r="E269" i="2"/>
  <c r="F269" i="2" s="1"/>
  <c r="E259" i="2"/>
  <c r="F259" i="2" s="1"/>
  <c r="E249" i="2"/>
  <c r="F249" i="2" s="1"/>
  <c r="E239" i="2"/>
  <c r="F239" i="2" s="1"/>
  <c r="E229" i="2"/>
  <c r="F229" i="2" s="1"/>
  <c r="E219" i="2"/>
  <c r="F219" i="2" s="1"/>
  <c r="E209" i="2"/>
  <c r="F209" i="2" s="1"/>
  <c r="E199" i="2"/>
  <c r="F199" i="2" s="1"/>
  <c r="E189" i="2"/>
  <c r="F189" i="2" s="1"/>
  <c r="E179" i="2"/>
  <c r="F179" i="2" s="1"/>
  <c r="E169" i="2"/>
  <c r="F169" i="2" s="1"/>
  <c r="E159" i="2"/>
  <c r="F159" i="2" s="1"/>
  <c r="E149" i="2"/>
  <c r="F149" i="2" s="1"/>
  <c r="E139" i="2"/>
  <c r="F139" i="2" s="1"/>
  <c r="E129" i="2"/>
  <c r="F129" i="2" s="1"/>
  <c r="E119" i="2"/>
  <c r="F119" i="2" s="1"/>
  <c r="E109" i="2"/>
  <c r="F109" i="2" s="1"/>
  <c r="E99" i="2"/>
  <c r="F99" i="2" s="1"/>
  <c r="E89" i="2"/>
  <c r="F89" i="2" s="1"/>
  <c r="E79" i="2"/>
  <c r="F79" i="2" s="1"/>
  <c r="E69" i="2"/>
  <c r="F69" i="2" s="1"/>
  <c r="E59" i="2"/>
  <c r="F59" i="2" s="1"/>
  <c r="E49" i="2"/>
  <c r="F49" i="2" s="1"/>
  <c r="E39" i="2"/>
  <c r="F39" i="2" s="1"/>
  <c r="E29" i="2"/>
  <c r="F29" i="2" s="1"/>
  <c r="E19" i="2"/>
  <c r="F19" i="2" s="1"/>
  <c r="E9" i="2"/>
  <c r="F9" i="2" s="1"/>
  <c r="E178" i="2"/>
  <c r="F178" i="2" s="1"/>
  <c r="E168" i="2"/>
  <c r="F168" i="2" s="1"/>
  <c r="E158" i="2"/>
  <c r="F158" i="2" s="1"/>
  <c r="E148" i="2"/>
  <c r="F148" i="2" s="1"/>
  <c r="E138" i="2"/>
  <c r="F138" i="2" s="1"/>
  <c r="E128" i="2"/>
  <c r="F128" i="2" s="1"/>
  <c r="E118" i="2"/>
  <c r="F118" i="2" s="1"/>
  <c r="E108" i="2"/>
  <c r="F108" i="2" s="1"/>
  <c r="E98" i="2"/>
  <c r="F98" i="2" s="1"/>
  <c r="E88" i="2"/>
  <c r="F88" i="2" s="1"/>
  <c r="E78" i="2"/>
  <c r="F78" i="2" s="1"/>
  <c r="E68" i="2"/>
  <c r="F68" i="2" s="1"/>
  <c r="E58" i="2"/>
  <c r="F58" i="2" s="1"/>
  <c r="E48" i="2"/>
  <c r="F48" i="2" s="1"/>
  <c r="E38" i="2"/>
  <c r="F38" i="2" s="1"/>
  <c r="E28" i="2"/>
  <c r="F28" i="2" s="1"/>
  <c r="E18" i="2"/>
  <c r="F18" i="2" s="1"/>
  <c r="E8" i="2"/>
  <c r="F8" i="2" s="1"/>
  <c r="E272" i="2"/>
  <c r="F272" i="2" s="1"/>
  <c r="E288" i="2"/>
  <c r="F288" i="2" s="1"/>
  <c r="E268" i="2"/>
  <c r="F268" i="2" s="1"/>
  <c r="E188" i="2"/>
  <c r="F188" i="2" s="1"/>
  <c r="E307" i="2"/>
  <c r="F307" i="2" s="1"/>
  <c r="E177" i="2"/>
  <c r="F177" i="2" s="1"/>
  <c r="E87" i="2"/>
  <c r="F87" i="2" s="1"/>
  <c r="E77" i="2"/>
  <c r="F77" i="2" s="1"/>
  <c r="E67" i="2"/>
  <c r="F67" i="2" s="1"/>
  <c r="E57" i="2"/>
  <c r="F57" i="2" s="1"/>
  <c r="E47" i="2"/>
  <c r="F47" i="2" s="1"/>
  <c r="E37" i="2"/>
  <c r="F37" i="2" s="1"/>
  <c r="E27" i="2"/>
  <c r="F27" i="2" s="1"/>
  <c r="E17" i="2"/>
  <c r="F17" i="2" s="1"/>
  <c r="E7" i="2"/>
  <c r="F7" i="2" s="1"/>
  <c r="E277" i="2"/>
  <c r="F277" i="2" s="1"/>
  <c r="E296" i="2"/>
  <c r="F296" i="2" s="1"/>
  <c r="E236" i="2"/>
  <c r="F236" i="2" s="1"/>
  <c r="E226" i="2"/>
  <c r="F226" i="2" s="1"/>
  <c r="E196" i="2"/>
  <c r="F196" i="2" s="1"/>
  <c r="E186" i="2"/>
  <c r="F186" i="2" s="1"/>
  <c r="E176" i="2"/>
  <c r="F176" i="2" s="1"/>
  <c r="E166" i="2"/>
  <c r="F166" i="2" s="1"/>
  <c r="E156" i="2"/>
  <c r="F156" i="2" s="1"/>
  <c r="E146" i="2"/>
  <c r="F146" i="2" s="1"/>
  <c r="E136" i="2"/>
  <c r="F136" i="2" s="1"/>
  <c r="E126" i="2"/>
  <c r="F126" i="2" s="1"/>
  <c r="E116" i="2"/>
  <c r="F116" i="2" s="1"/>
  <c r="E106" i="2"/>
  <c r="F106" i="2" s="1"/>
  <c r="E96" i="2"/>
  <c r="F96" i="2" s="1"/>
  <c r="E86" i="2"/>
  <c r="F86" i="2" s="1"/>
  <c r="E76" i="2"/>
  <c r="F76" i="2" s="1"/>
  <c r="E66" i="2"/>
  <c r="F66" i="2" s="1"/>
  <c r="E56" i="2"/>
  <c r="F56" i="2" s="1"/>
  <c r="E46" i="2"/>
  <c r="F46" i="2" s="1"/>
  <c r="E36" i="2"/>
  <c r="F36" i="2" s="1"/>
  <c r="E26" i="2"/>
  <c r="F26" i="2" s="1"/>
  <c r="E16" i="2"/>
  <c r="F16" i="2" s="1"/>
  <c r="E92" i="2"/>
  <c r="F92" i="2" s="1"/>
  <c r="E208" i="2"/>
  <c r="F208" i="2" s="1"/>
  <c r="E297" i="2"/>
  <c r="F297" i="2" s="1"/>
  <c r="E235" i="2"/>
  <c r="F235" i="2" s="1"/>
  <c r="E225" i="2"/>
  <c r="F225" i="2" s="1"/>
  <c r="E215" i="2"/>
  <c r="F215" i="2" s="1"/>
  <c r="E205" i="2"/>
  <c r="F205" i="2" s="1"/>
  <c r="E185" i="2"/>
  <c r="F185" i="2" s="1"/>
  <c r="E175" i="2"/>
  <c r="F175" i="2" s="1"/>
  <c r="E165" i="2"/>
  <c r="F165" i="2" s="1"/>
  <c r="E155" i="2"/>
  <c r="F155" i="2" s="1"/>
  <c r="E145" i="2"/>
  <c r="F145" i="2" s="1"/>
  <c r="E135" i="2"/>
  <c r="F135" i="2" s="1"/>
  <c r="E125" i="2"/>
  <c r="F125" i="2" s="1"/>
  <c r="E115" i="2"/>
  <c r="F115" i="2" s="1"/>
  <c r="E105" i="2"/>
  <c r="F105" i="2" s="1"/>
  <c r="E95" i="2"/>
  <c r="F95" i="2" s="1"/>
  <c r="E85" i="2"/>
  <c r="F85" i="2" s="1"/>
  <c r="E75" i="2"/>
  <c r="F75" i="2" s="1"/>
  <c r="E65" i="2"/>
  <c r="F65" i="2" s="1"/>
  <c r="E55" i="2"/>
  <c r="F55" i="2" s="1"/>
  <c r="E45" i="2"/>
  <c r="F45" i="2" s="1"/>
  <c r="E35" i="2"/>
  <c r="F35" i="2" s="1"/>
  <c r="E25" i="2"/>
  <c r="F25" i="2" s="1"/>
  <c r="E15" i="2"/>
  <c r="F15" i="2" s="1"/>
  <c r="E310" i="2"/>
  <c r="F310" i="2" s="1"/>
  <c r="E258" i="2"/>
  <c r="F258" i="2" s="1"/>
  <c r="E228" i="2"/>
  <c r="F228" i="2" s="1"/>
  <c r="E167" i="2"/>
  <c r="F167" i="2" s="1"/>
  <c r="E137" i="2"/>
  <c r="F137" i="2" s="1"/>
  <c r="E127" i="2"/>
  <c r="F127" i="2" s="1"/>
  <c r="E266" i="2"/>
  <c r="F266" i="2" s="1"/>
  <c r="E254" i="2"/>
  <c r="F254" i="2" s="1"/>
  <c r="E244" i="2"/>
  <c r="F244" i="2" s="1"/>
  <c r="E94" i="2"/>
  <c r="F94" i="2" s="1"/>
  <c r="E84" i="2"/>
  <c r="F84" i="2" s="1"/>
  <c r="E74" i="2"/>
  <c r="F74" i="2" s="1"/>
  <c r="E64" i="2"/>
  <c r="F64" i="2" s="1"/>
  <c r="E54" i="2"/>
  <c r="F54" i="2" s="1"/>
  <c r="E44" i="2"/>
  <c r="F44" i="2" s="1"/>
  <c r="E34" i="2"/>
  <c r="F34" i="2" s="1"/>
  <c r="E24" i="2"/>
  <c r="F24" i="2" s="1"/>
  <c r="E14" i="2"/>
  <c r="F14" i="2" s="1"/>
  <c r="E4" i="2"/>
  <c r="F4" i="2" s="1"/>
  <c r="E308" i="2"/>
  <c r="F308" i="2" s="1"/>
  <c r="E267" i="2"/>
  <c r="F267" i="2" s="1"/>
  <c r="E237" i="2"/>
  <c r="F237" i="2" s="1"/>
  <c r="E187" i="2"/>
  <c r="F187" i="2" s="1"/>
  <c r="E216" i="2"/>
  <c r="F216" i="2" s="1"/>
  <c r="E305" i="2"/>
  <c r="F305" i="2" s="1"/>
  <c r="E295" i="2"/>
  <c r="F295" i="2" s="1"/>
  <c r="E285" i="2"/>
  <c r="F285" i="2" s="1"/>
  <c r="E275" i="2"/>
  <c r="F275" i="2" s="1"/>
  <c r="E265" i="2"/>
  <c r="F265" i="2" s="1"/>
  <c r="E255" i="2"/>
  <c r="F255" i="2" s="1"/>
  <c r="E245" i="2"/>
  <c r="F245" i="2" s="1"/>
  <c r="E195" i="2"/>
  <c r="F195" i="2" s="1"/>
  <c r="E224" i="2"/>
  <c r="F224" i="2" s="1"/>
  <c r="E214" i="2"/>
  <c r="F214" i="2" s="1"/>
  <c r="E204" i="2"/>
  <c r="F204" i="2" s="1"/>
  <c r="E184" i="2"/>
  <c r="F184" i="2" s="1"/>
  <c r="E174" i="2"/>
  <c r="F174" i="2" s="1"/>
  <c r="E154" i="2"/>
  <c r="F154" i="2" s="1"/>
  <c r="E144" i="2"/>
  <c r="F144" i="2" s="1"/>
  <c r="E134" i="2"/>
  <c r="F134" i="2" s="1"/>
  <c r="E124" i="2"/>
  <c r="F124" i="2" s="1"/>
  <c r="E104" i="2"/>
  <c r="F104" i="2" s="1"/>
  <c r="E313" i="2"/>
  <c r="F313" i="2" s="1"/>
  <c r="E303" i="2"/>
  <c r="F303" i="2" s="1"/>
  <c r="E183" i="2"/>
  <c r="F183" i="2" s="1"/>
  <c r="E173" i="2"/>
  <c r="F173" i="2" s="1"/>
  <c r="E123" i="2"/>
  <c r="F123" i="2" s="1"/>
  <c r="E113" i="2"/>
  <c r="F113" i="2" s="1"/>
  <c r="E103" i="2"/>
  <c r="F103" i="2" s="1"/>
  <c r="E63" i="2"/>
  <c r="F63" i="2" s="1"/>
  <c r="E53" i="2"/>
  <c r="F53" i="2" s="1"/>
  <c r="E43" i="2"/>
  <c r="F43" i="2" s="1"/>
  <c r="E23" i="2"/>
  <c r="F23" i="2" s="1"/>
  <c r="E13" i="2"/>
  <c r="F13" i="2" s="1"/>
  <c r="E3" i="2"/>
  <c r="F3" i="2" s="1"/>
  <c r="E312" i="2"/>
  <c r="F312" i="2" s="1"/>
  <c r="E302" i="2"/>
  <c r="F302" i="2" s="1"/>
  <c r="E292" i="2"/>
  <c r="F292" i="2" s="1"/>
  <c r="E282" i="2"/>
  <c r="F282" i="2" s="1"/>
  <c r="E142" i="2"/>
  <c r="F142" i="2" s="1"/>
  <c r="E72" i="2"/>
  <c r="F72" i="2" s="1"/>
  <c r="E62" i="2"/>
  <c r="F62" i="2" s="1"/>
  <c r="E52" i="2"/>
  <c r="F52" i="2" s="1"/>
  <c r="E42" i="2"/>
  <c r="F42" i="2" s="1"/>
  <c r="E32" i="2"/>
  <c r="F32" i="2" s="1"/>
  <c r="E22" i="2"/>
  <c r="F22" i="2" s="1"/>
  <c r="E12" i="2"/>
  <c r="F12" i="2" s="1"/>
  <c r="E21" i="2"/>
  <c r="F21" i="2" s="1"/>
  <c r="E11" i="2"/>
  <c r="F11" i="2" s="1"/>
  <c r="E192" i="2"/>
  <c r="F192" i="2" s="1"/>
  <c r="E141" i="2"/>
  <c r="F141" i="2" s="1"/>
  <c r="E131" i="2"/>
  <c r="F131" i="2" s="1"/>
  <c r="E121" i="2"/>
  <c r="F121" i="2" s="1"/>
  <c r="E51" i="2"/>
  <c r="F51" i="2" s="1"/>
  <c r="E250" i="2"/>
  <c r="F250" i="2" s="1"/>
  <c r="E240" i="2"/>
  <c r="F240" i="2" s="1"/>
  <c r="E100" i="2"/>
  <c r="F100" i="2" s="1"/>
  <c r="E90" i="2"/>
  <c r="F90" i="2" s="1"/>
  <c r="E10" i="2"/>
  <c r="F10" i="2" s="1"/>
  <c r="E152" i="2"/>
  <c r="F152" i="2" s="1"/>
  <c r="E301" i="2"/>
  <c r="F301" i="2" s="1"/>
  <c r="E271" i="2"/>
  <c r="F271" i="2" s="1"/>
  <c r="E111" i="2"/>
  <c r="F111" i="2" s="1"/>
  <c r="E40" i="2"/>
  <c r="F40" i="2" s="1"/>
  <c r="E102" i="2"/>
  <c r="F102" i="2" s="1"/>
  <c r="E261" i="2"/>
  <c r="F261" i="2" s="1"/>
  <c r="E181" i="2"/>
  <c r="F181" i="2" s="1"/>
  <c r="E270" i="2"/>
  <c r="F270" i="2" s="1"/>
  <c r="E50" i="2"/>
  <c r="F50" i="2" s="1"/>
  <c r="E122" i="2"/>
  <c r="F122" i="2" s="1"/>
  <c r="E291" i="2"/>
  <c r="F291" i="2" s="1"/>
  <c r="E281" i="2"/>
  <c r="F281" i="2" s="1"/>
  <c r="E31" i="2"/>
  <c r="F31" i="2" s="1"/>
  <c r="E280" i="2"/>
  <c r="F280" i="2" s="1"/>
  <c r="E260" i="2"/>
  <c r="F260" i="2" s="1"/>
  <c r="E20" i="2"/>
  <c r="F20" i="2" s="1"/>
  <c r="E252" i="2"/>
  <c r="F252" i="2" s="1"/>
  <c r="E222" i="2"/>
  <c r="F222" i="2" s="1"/>
  <c r="E202" i="2"/>
  <c r="F202" i="2" s="1"/>
  <c r="E132" i="2"/>
  <c r="F132" i="2" s="1"/>
  <c r="E82" i="2"/>
  <c r="F82" i="2" s="1"/>
  <c r="E311" i="2"/>
  <c r="F311" i="2" s="1"/>
  <c r="E231" i="2"/>
  <c r="F231" i="2" s="1"/>
  <c r="E221" i="2"/>
  <c r="F221" i="2" s="1"/>
  <c r="E211" i="2"/>
  <c r="F211" i="2" s="1"/>
  <c r="E201" i="2"/>
  <c r="F201" i="2" s="1"/>
  <c r="E41" i="2"/>
  <c r="F41" i="2" s="1"/>
  <c r="E150" i="2"/>
  <c r="F150" i="2" s="1"/>
  <c r="E140" i="2"/>
  <c r="F140" i="2" s="1"/>
  <c r="E130" i="2"/>
  <c r="F130" i="2" s="1"/>
  <c r="E120" i="2"/>
  <c r="F120" i="2" s="1"/>
  <c r="E110" i="2"/>
  <c r="F110" i="2" s="1"/>
  <c r="E30" i="2"/>
  <c r="F30" i="2" s="1"/>
  <c r="E6" i="2"/>
  <c r="F6" i="2" s="1"/>
  <c r="E172" i="2"/>
  <c r="F172" i="2" s="1"/>
  <c r="E112" i="2"/>
  <c r="F112" i="2" s="1"/>
  <c r="E191" i="2"/>
  <c r="F191" i="2" s="1"/>
  <c r="E171" i="2"/>
  <c r="F171" i="2" s="1"/>
  <c r="E101" i="2"/>
  <c r="F101" i="2" s="1"/>
  <c r="E71" i="2"/>
  <c r="F71" i="2" s="1"/>
  <c r="E70" i="2"/>
  <c r="F70" i="2" s="1"/>
  <c r="E5" i="2"/>
  <c r="F5" i="2" s="1"/>
  <c r="E251" i="2"/>
  <c r="F251" i="2" s="1"/>
  <c r="E161" i="2"/>
  <c r="F161" i="2" s="1"/>
  <c r="E91" i="2"/>
  <c r="F91" i="2" s="1"/>
  <c r="E81" i="2"/>
  <c r="F81" i="2" s="1"/>
  <c r="E61" i="2"/>
  <c r="F61" i="2" s="1"/>
  <c r="E230" i="2"/>
  <c r="F230" i="2" s="1"/>
  <c r="E60" i="2"/>
  <c r="F60" i="2" s="1"/>
  <c r="E2" i="2"/>
  <c r="F2" i="2" s="1"/>
  <c r="E182" i="2"/>
  <c r="F182" i="2" s="1"/>
  <c r="E241" i="2"/>
  <c r="F241" i="2" s="1"/>
  <c r="E151" i="2"/>
  <c r="F151" i="2" s="1"/>
  <c r="E300" i="2"/>
  <c r="F300" i="2" s="1"/>
  <c r="E290" i="2"/>
  <c r="F290" i="2" s="1"/>
  <c r="E220" i="2"/>
  <c r="F220" i="2" s="1"/>
  <c r="E210" i="2"/>
  <c r="F210" i="2" s="1"/>
  <c r="E200" i="2"/>
  <c r="F200" i="2" s="1"/>
  <c r="E190" i="2"/>
  <c r="F190" i="2" s="1"/>
  <c r="E180" i="2"/>
  <c r="F180" i="2" s="1"/>
  <c r="E170" i="2"/>
  <c r="F170" i="2" s="1"/>
  <c r="E160" i="2"/>
  <c r="F16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<sst xmlns="http://schemas.openxmlformats.org/spreadsheetml/2006/main" count="1830" uniqueCount="1019">
  <si>
    <t>ITEM     NO.</t>
    <phoneticPr fontId="0" type="noConversion"/>
  </si>
  <si>
    <t>LINE      NO.</t>
    <phoneticPr fontId="0" type="noConversion"/>
  </si>
  <si>
    <t xml:space="preserve">SHEET     </t>
    <phoneticPr fontId="0" type="noConversion"/>
  </si>
  <si>
    <t>REV.A</t>
    <phoneticPr fontId="0" type="noConversion"/>
  </si>
  <si>
    <t>REV.0</t>
    <phoneticPr fontId="0" type="noConversion"/>
  </si>
  <si>
    <t>REV.1</t>
    <phoneticPr fontId="0" type="noConversion"/>
  </si>
  <si>
    <t>REMARK</t>
    <phoneticPr fontId="0" type="noConversion"/>
  </si>
  <si>
    <t>1</t>
    <phoneticPr fontId="0" type="noConversion"/>
  </si>
  <si>
    <t>CW-22101-2"-S1P1</t>
  </si>
  <si>
    <t>2</t>
    <phoneticPr fontId="0" type="noConversion"/>
  </si>
  <si>
    <t>CW-22102-2"-S1P1</t>
  </si>
  <si>
    <t>3</t>
  </si>
  <si>
    <t>CW-22103-1"-S1P1</t>
  </si>
  <si>
    <t>4</t>
  </si>
  <si>
    <t>CW-22104-1"-S1P1</t>
  </si>
  <si>
    <t>5</t>
  </si>
  <si>
    <t>CW-22105-4"-S1P1</t>
  </si>
  <si>
    <t>6</t>
  </si>
  <si>
    <t>CW-22106-4"-S1P1</t>
  </si>
  <si>
    <t>7</t>
  </si>
  <si>
    <t>CW-22201-3"-S1P1</t>
  </si>
  <si>
    <t>8</t>
  </si>
  <si>
    <t>CW-22202-3"-S1P1</t>
  </si>
  <si>
    <t>9</t>
  </si>
  <si>
    <t>CW-22203-2"-S1P1</t>
  </si>
  <si>
    <t>10</t>
  </si>
  <si>
    <t>CW-22204-2"-S1P1</t>
  </si>
  <si>
    <t>11</t>
  </si>
  <si>
    <t>CW-22205-6"-S1P1</t>
  </si>
  <si>
    <t>12</t>
  </si>
  <si>
    <t>CW-22206-6"-S1P1</t>
  </si>
  <si>
    <t>13</t>
  </si>
  <si>
    <t>CW-22351-8"-S1P1</t>
  </si>
  <si>
    <t>14</t>
  </si>
  <si>
    <t>CW-22352-8"-S1P1</t>
  </si>
  <si>
    <t>15</t>
  </si>
  <si>
    <t>FO-903A01-2"-S1P1F</t>
  </si>
  <si>
    <t>16</t>
  </si>
  <si>
    <t>FO-903A02-1/2"-S1P1F</t>
  </si>
  <si>
    <t>17</t>
  </si>
  <si>
    <t>FO-903A03-1.1/2"-S1P1F</t>
  </si>
  <si>
    <t>18</t>
  </si>
  <si>
    <t>FO-903A04-2"-S1P1F</t>
  </si>
  <si>
    <t>19</t>
  </si>
  <si>
    <t>FO-903A05-1"-S1P1F</t>
  </si>
  <si>
    <t>20</t>
  </si>
  <si>
    <t>FO-903A06-1/2"-S1P1F</t>
  </si>
  <si>
    <t>21</t>
  </si>
  <si>
    <t>FO-903A07-1/2"-S1P1F</t>
  </si>
  <si>
    <t>22</t>
  </si>
  <si>
    <t>FO-903A08-1"-S1P1F</t>
  </si>
  <si>
    <t>23</t>
  </si>
  <si>
    <t>HS-22101-1"-C3S1-HC2</t>
  </si>
  <si>
    <t>24</t>
  </si>
  <si>
    <t>HS-22201-2"-C3S1-HC2</t>
  </si>
  <si>
    <t>25</t>
  </si>
  <si>
    <t>HS-22341-4"-C3S1-HC2</t>
  </si>
  <si>
    <t>26</t>
  </si>
  <si>
    <t>IA-22361-1.1/2"-S1P4</t>
  </si>
  <si>
    <t>27</t>
  </si>
  <si>
    <t>ICW-22101-2"-S1P1-C40</t>
  </si>
  <si>
    <t>28</t>
  </si>
  <si>
    <t>ICW-22102-2"-S1P1-C40</t>
  </si>
  <si>
    <t>29</t>
  </si>
  <si>
    <t>ICW-22107-1"-S1P1-C40</t>
  </si>
  <si>
    <t>30</t>
  </si>
  <si>
    <t>ICW-22108-1"-S1P1-C40</t>
  </si>
  <si>
    <t>31</t>
  </si>
  <si>
    <t>ICW-22109-1"-S1P1-C40</t>
  </si>
  <si>
    <t>32</t>
  </si>
  <si>
    <t>ICW-22110-1"-S1P1-C40</t>
  </si>
  <si>
    <t>33</t>
  </si>
  <si>
    <t>ICW-22201-3"-S1P1-C40</t>
  </si>
  <si>
    <t>34</t>
  </si>
  <si>
    <t>ICW-22202-3"-S1P1-C40</t>
  </si>
  <si>
    <t>35</t>
  </si>
  <si>
    <t>ICW-22207-1"-S1P1-C40</t>
  </si>
  <si>
    <t>36</t>
  </si>
  <si>
    <t>ICW-22208-1"-S1P1-C40</t>
  </si>
  <si>
    <t>37</t>
  </si>
  <si>
    <t>ICW-22352-4"-S1P1-C40</t>
  </si>
  <si>
    <t>38</t>
  </si>
  <si>
    <t>ICW-22351-4"-S1P1-C40</t>
  </si>
  <si>
    <t>39</t>
  </si>
  <si>
    <t>IW-22371-2"-C1A1</t>
  </si>
  <si>
    <t>40</t>
  </si>
  <si>
    <t>IW-22372-1"-C1A1</t>
  </si>
  <si>
    <t>41</t>
  </si>
  <si>
    <t>IW-22373-1"-C1A1</t>
  </si>
  <si>
    <t>42</t>
  </si>
  <si>
    <t>IW-22374-1"-C1A1</t>
  </si>
  <si>
    <t>43</t>
  </si>
  <si>
    <t>IW-22375-1"-C1A1</t>
  </si>
  <si>
    <t>44</t>
  </si>
  <si>
    <t>IW-22376-1"-C1A1</t>
  </si>
  <si>
    <t>45</t>
  </si>
  <si>
    <t>IW-22377-1"-C1A1</t>
  </si>
  <si>
    <t>46</t>
  </si>
  <si>
    <t>IW-22378-1"-C1A1</t>
  </si>
  <si>
    <t>47</t>
  </si>
  <si>
    <t>LC-22101-2"-C3S1-HC2</t>
  </si>
  <si>
    <t>48</t>
  </si>
  <si>
    <t>LC-22102-2"-C1S1-HC2</t>
  </si>
  <si>
    <t>49</t>
  </si>
  <si>
    <t>LC-22201-3"-C3S1-HC2</t>
  </si>
  <si>
    <t>50</t>
  </si>
  <si>
    <t>LC-22202-3"-C1S1-HC2</t>
  </si>
  <si>
    <t>51</t>
  </si>
  <si>
    <t>LC-22341-4"-C1S1-HC2</t>
  </si>
  <si>
    <t>52</t>
  </si>
  <si>
    <t>MC-22341-1"-C3S1-HC2</t>
  </si>
  <si>
    <t>53</t>
  </si>
  <si>
    <t>MC-22342-3/4"-C3S1-HC2</t>
  </si>
  <si>
    <t>54</t>
  </si>
  <si>
    <t>MS-22101-3"-C3S1-HC2</t>
  </si>
  <si>
    <t>55</t>
  </si>
  <si>
    <t>MS-22201-4"-C3S1-HC2</t>
  </si>
  <si>
    <t>56</t>
  </si>
  <si>
    <t>MS-22341-6"-C3S1-HC2</t>
  </si>
  <si>
    <t>57</t>
  </si>
  <si>
    <t>NI-22101-1"-S1PL</t>
  </si>
  <si>
    <t>58</t>
  </si>
  <si>
    <t>NI-22311-3/4"-S1P4</t>
  </si>
  <si>
    <t>59</t>
  </si>
  <si>
    <t>NI-22361-2"-S1P4</t>
  </si>
  <si>
    <t>60</t>
  </si>
  <si>
    <t>NI-22362-1.1/2"-S1P4</t>
  </si>
  <si>
    <t>61</t>
  </si>
  <si>
    <t>NI-22364-1"-S1P4</t>
  </si>
  <si>
    <t>62</t>
  </si>
  <si>
    <t>NI-22365-1"-S1P4</t>
  </si>
  <si>
    <t>63</t>
  </si>
  <si>
    <t>NI-22366-1"-S1P4</t>
  </si>
  <si>
    <t>64</t>
  </si>
  <si>
    <t>NI-22367-1"-S1P4</t>
  </si>
  <si>
    <t>65</t>
  </si>
  <si>
    <t>NI-22368-1"-S1P4</t>
  </si>
  <si>
    <t>66</t>
  </si>
  <si>
    <t>NI-22369-1"-S1P4</t>
  </si>
  <si>
    <t>67</t>
  </si>
  <si>
    <t>NI-22370-1"-S1P4</t>
  </si>
  <si>
    <t>68</t>
  </si>
  <si>
    <t>P-22101-1"-S1PL</t>
  </si>
  <si>
    <t>69</t>
  </si>
  <si>
    <t>P-22102-3"-S1PL-HC1</t>
  </si>
  <si>
    <t>70</t>
  </si>
  <si>
    <t>P-22103-8"-S1PL-HC1</t>
  </si>
  <si>
    <t>71</t>
  </si>
  <si>
    <t>P-22104-2"-S1PL-HC1</t>
  </si>
  <si>
    <t>72</t>
  </si>
  <si>
    <t>P-22105-2"-S1PL-HC1</t>
  </si>
  <si>
    <t>73</t>
  </si>
  <si>
    <t>P-22106-2"-S1PL-HC1</t>
  </si>
  <si>
    <t>74</t>
  </si>
  <si>
    <t>P-22107-1.1/2"-S1PL-HC1</t>
  </si>
  <si>
    <t>75</t>
  </si>
  <si>
    <t>P-22108-1.1/2"-S1PL-HC1</t>
  </si>
  <si>
    <t>76</t>
  </si>
  <si>
    <t>P-22109-3/4"-S1PL-HC1</t>
  </si>
  <si>
    <t>77</t>
  </si>
  <si>
    <t>P-22110-3/4"-S1PL-HC1</t>
  </si>
  <si>
    <t>78</t>
  </si>
  <si>
    <t>P-22111-1.1/2"-S1PL-PP1</t>
  </si>
  <si>
    <t>79</t>
  </si>
  <si>
    <t>P-22112-1"-S1P4</t>
  </si>
  <si>
    <t>80</t>
  </si>
  <si>
    <t>P-22113-6"-S1PL-HC1</t>
  </si>
  <si>
    <t>81</t>
  </si>
  <si>
    <t>P-22114-1"-S1PL</t>
  </si>
  <si>
    <t>82</t>
  </si>
  <si>
    <t>P-22115-1.1/2"-S1PL-HC1</t>
  </si>
  <si>
    <t>83</t>
  </si>
  <si>
    <t>P-22116-2"-S1PL-HC1</t>
  </si>
  <si>
    <t>84</t>
  </si>
  <si>
    <t>P-22117-2"-S1PL-HC1</t>
  </si>
  <si>
    <t>85</t>
  </si>
  <si>
    <t>P-22118-1.1/2"-S1PL-HC1</t>
  </si>
  <si>
    <t>86</t>
  </si>
  <si>
    <t>P-22119-1.1/2"-S1PL-HC1</t>
  </si>
  <si>
    <t>87</t>
  </si>
  <si>
    <t>P-22120-3/4"-S1PL-HC1</t>
  </si>
  <si>
    <t>88</t>
  </si>
  <si>
    <t>P-22121-3/4"-S1PL-HC1</t>
  </si>
  <si>
    <t>89</t>
  </si>
  <si>
    <t>P-22122-1.1/2"-S1PL-HC1</t>
  </si>
  <si>
    <t>90</t>
  </si>
  <si>
    <t>P-22123-1"-S1P4</t>
  </si>
  <si>
    <t>91</t>
  </si>
  <si>
    <t>P-22124-1.1/2"-S1PL-PP1</t>
  </si>
  <si>
    <t>92</t>
  </si>
  <si>
    <t>P-22125-2"-S1PL-PP1</t>
  </si>
  <si>
    <t>93</t>
  </si>
  <si>
    <t>P-22126-2"-S1PL</t>
  </si>
  <si>
    <t>94</t>
  </si>
  <si>
    <t>P-22127-1"-S1PL-PP1</t>
  </si>
  <si>
    <t>95</t>
  </si>
  <si>
    <t>P-22128-1"-S1PL</t>
  </si>
  <si>
    <t>96</t>
  </si>
  <si>
    <t>P-22129-1"-S1PL</t>
  </si>
  <si>
    <t>97</t>
  </si>
  <si>
    <t>P-22201-6"-S1PL-HC1</t>
  </si>
  <si>
    <t>98</t>
  </si>
  <si>
    <t>P-22202-10"-S1PL-HC1</t>
  </si>
  <si>
    <t>99</t>
  </si>
  <si>
    <t>P-22203-2"-S1PL-HC1</t>
  </si>
  <si>
    <t>100</t>
  </si>
  <si>
    <t>P-22204-2"-S1PL-HC1</t>
  </si>
  <si>
    <t>101</t>
  </si>
  <si>
    <t>P-22205-2"-S1PL-HC1</t>
  </si>
  <si>
    <t>102</t>
  </si>
  <si>
    <t>P-22206-1.1/2"-S1PL-HC1</t>
  </si>
  <si>
    <t>103</t>
  </si>
  <si>
    <t>P-22207-1.1/2"-S1PL-HC1</t>
  </si>
  <si>
    <t>104</t>
  </si>
  <si>
    <t>P-22208-3/4"-S1PL-HC1</t>
  </si>
  <si>
    <t>105</t>
  </si>
  <si>
    <t>P-22209-3/4"-S1PL-HC1</t>
  </si>
  <si>
    <t>106</t>
  </si>
  <si>
    <t>P-22216-1.1/2"-S1PL</t>
  </si>
  <si>
    <t>107</t>
  </si>
  <si>
    <t>P-22218-1"-S1PL</t>
  </si>
  <si>
    <t>108</t>
  </si>
  <si>
    <t>P-22230-2"-S1PL</t>
  </si>
  <si>
    <t>109</t>
  </si>
  <si>
    <t>P-22231-1"-S1PL</t>
  </si>
  <si>
    <t>110</t>
  </si>
  <si>
    <t>P-22233-1"-S1PL</t>
  </si>
  <si>
    <t>111</t>
  </si>
  <si>
    <t>P-22234-1"-S1PL</t>
  </si>
  <si>
    <t>112</t>
  </si>
  <si>
    <t>P-22235-6"-S1P1</t>
  </si>
  <si>
    <t>113</t>
  </si>
  <si>
    <t>PA-22361-2"-C1A2</t>
  </si>
  <si>
    <t>114</t>
  </si>
  <si>
    <t>PA-22362-1"-C1A2</t>
  </si>
  <si>
    <t>115</t>
  </si>
  <si>
    <t>PA-22363-1"-C1A2</t>
  </si>
  <si>
    <t>116</t>
  </si>
  <si>
    <t>PA-22364-1"-C1A2</t>
  </si>
  <si>
    <t>117</t>
  </si>
  <si>
    <t>PA-22365-1"-C1A2</t>
  </si>
  <si>
    <t>118</t>
  </si>
  <si>
    <t>PA-22366-1"-C1A2</t>
  </si>
  <si>
    <t>119</t>
  </si>
  <si>
    <t>PA-22367-1"-C1A2</t>
  </si>
  <si>
    <t>120</t>
  </si>
  <si>
    <t>PA-22368-1"-C1A2</t>
  </si>
  <si>
    <t>121</t>
  </si>
  <si>
    <t>PW2-22101-1"-S1P4</t>
  </si>
  <si>
    <t>122</t>
  </si>
  <si>
    <t>PW2-22371-2"-S1P4</t>
  </si>
  <si>
    <t>123</t>
  </si>
  <si>
    <t>PW2-22372-1"-S1P4</t>
  </si>
  <si>
    <t>124</t>
  </si>
  <si>
    <t>PW2-22373-1"-S1P4</t>
  </si>
  <si>
    <t>125</t>
  </si>
  <si>
    <t>PW2-22374-1"-S1P4</t>
  </si>
  <si>
    <t>126</t>
  </si>
  <si>
    <t>PW2-22375-1"-S1P4</t>
  </si>
  <si>
    <t>127</t>
  </si>
  <si>
    <t>PW2-22376-1"-S1P4</t>
  </si>
  <si>
    <t>128</t>
  </si>
  <si>
    <t>PW2-22377-1"-S1P4</t>
  </si>
  <si>
    <t>129</t>
  </si>
  <si>
    <t>PW2-22378-1"-S1P4</t>
  </si>
  <si>
    <t>130</t>
  </si>
  <si>
    <t>RH-22101-4"-C1P1</t>
  </si>
  <si>
    <t>131</t>
  </si>
  <si>
    <t>RH-22102-3"-C1P1</t>
  </si>
  <si>
    <t>132</t>
  </si>
  <si>
    <t>RH-22201-6"-C1P1</t>
  </si>
  <si>
    <t>133</t>
  </si>
  <si>
    <t>RH-22202-3"-C1P1</t>
  </si>
  <si>
    <t>134</t>
  </si>
  <si>
    <t>SW-22371-2"-S1P1</t>
  </si>
  <si>
    <t>135</t>
  </si>
  <si>
    <t>SW-22372-1.1/2"-S1P1</t>
  </si>
  <si>
    <t>136</t>
  </si>
  <si>
    <t>SW-22373-1.1/2"-S1P1</t>
  </si>
  <si>
    <t>137</t>
  </si>
  <si>
    <t>SW-22374-1.1/2"-S1P1</t>
  </si>
  <si>
    <t>138</t>
  </si>
  <si>
    <t>SW-22375-1.1/2"-S1P1</t>
  </si>
  <si>
    <t>139</t>
  </si>
  <si>
    <t>SW-22376-1.1/2"-S1P1</t>
  </si>
  <si>
    <t>140</t>
  </si>
  <si>
    <t>SW-22377-1.1/2"-S1P1</t>
  </si>
  <si>
    <t>141</t>
  </si>
  <si>
    <t>TRIM-D2210-N35-1.1/2"-S1PL</t>
  </si>
  <si>
    <t>142</t>
  </si>
  <si>
    <t>TRIM-D2210-N45AB-2"-S1PL</t>
  </si>
  <si>
    <t>143</t>
  </si>
  <si>
    <t>TRIM-D2210-N47AB-2"-S1PL</t>
  </si>
  <si>
    <t>144</t>
  </si>
  <si>
    <t>TRIM-D2210-N8-1"-S1PL</t>
  </si>
  <si>
    <t>145</t>
  </si>
  <si>
    <t>TRIM-E2210-S3-1"-C3S1-HC1</t>
  </si>
  <si>
    <t>146</t>
  </si>
  <si>
    <t>TRIM-E2210-S4-1"-C3S1-HC1</t>
  </si>
  <si>
    <t>147</t>
  </si>
  <si>
    <t>TRIM-E2211-T3-1"-S1P1</t>
  </si>
  <si>
    <t>148</t>
  </si>
  <si>
    <t>TRIM-E2211-T4-1"-S1P1</t>
  </si>
  <si>
    <t>149</t>
  </si>
  <si>
    <t>TRIM-E2212-S3-1/2"-S1P1-C50</t>
  </si>
  <si>
    <t>150</t>
  </si>
  <si>
    <t>TRIM-E2212-S4-1/2"-S1P1-C50</t>
  </si>
  <si>
    <t>151</t>
  </si>
  <si>
    <t>TRIM-E2212-T4-1/2"-S1PL</t>
  </si>
  <si>
    <t>152</t>
  </si>
  <si>
    <t>TRIM-E2213-T3-1/2"-S1P1</t>
  </si>
  <si>
    <t>153</t>
  </si>
  <si>
    <t>TRIM-E2213-T4-1/2"-S1P1</t>
  </si>
  <si>
    <t>154</t>
  </si>
  <si>
    <t>TRIM-E2214-T3-1/2"-S1P1</t>
  </si>
  <si>
    <t>155</t>
  </si>
  <si>
    <t>TRIM-E2214-T4-1/2"-S1P1</t>
  </si>
  <si>
    <t>156</t>
  </si>
  <si>
    <t>TRIM-E2220-S3-1"-C3S1-HC1</t>
  </si>
  <si>
    <t>157</t>
  </si>
  <si>
    <t>TRIM-E2220-S4-1"-C3S1-HC1</t>
  </si>
  <si>
    <t>158</t>
  </si>
  <si>
    <t>TRIM-E2222-S3-1/2"-S1P1-C50</t>
  </si>
  <si>
    <t>159</t>
  </si>
  <si>
    <t>TRIM-E2222-S4-1/2"-S1P1-C50</t>
  </si>
  <si>
    <t>160</t>
  </si>
  <si>
    <t>TRIM-E2224-T3-1/2"-S1P1</t>
  </si>
  <si>
    <t>161</t>
  </si>
  <si>
    <t>TRIM-E2224-T4-1/2"-S1P1</t>
  </si>
  <si>
    <t>162</t>
  </si>
  <si>
    <t>TRIM-ES151-N2-1.1/2"-S1P1</t>
  </si>
  <si>
    <t>163</t>
  </si>
  <si>
    <t>TRIM-STR22101A-D-1"-S1PL-HC1</t>
  </si>
  <si>
    <t>164</t>
  </si>
  <si>
    <t>TRIM-STR22101A-V-1"-S1PL-HC1</t>
  </si>
  <si>
    <t>165</t>
  </si>
  <si>
    <t>TRIM-STR22101B-D-1"-S1PL-HC1</t>
  </si>
  <si>
    <t>166</t>
  </si>
  <si>
    <t>TRIM-STR22101B-V-1"-S1PL-HC1</t>
  </si>
  <si>
    <t>167</t>
  </si>
  <si>
    <t>TRIM-STR22111A-D-1"-S1PL-HC1</t>
  </si>
  <si>
    <t>168</t>
  </si>
  <si>
    <t>TRIM-STR22111A-V-1"-S1PL-HC1</t>
  </si>
  <si>
    <t>169</t>
  </si>
  <si>
    <t>TRIM-STR22111B-D-1"-S1PL-HC1</t>
  </si>
  <si>
    <t>170</t>
  </si>
  <si>
    <t>TRIM-STR22111B-V-1"-S1PL-HC1</t>
  </si>
  <si>
    <t>171</t>
  </si>
  <si>
    <t>TRIM-STR22201A-D-1"-S1PL-HC1</t>
  </si>
  <si>
    <t>172</t>
  </si>
  <si>
    <t>TRIM-STR22201A-V-1"-S1PL-HC1</t>
  </si>
  <si>
    <t>173</t>
  </si>
  <si>
    <t>TRIM-STR22201B-D-1"-S1PL-HC1</t>
  </si>
  <si>
    <t>174</t>
  </si>
  <si>
    <t>TRIM-STR22201B-V-1"-S1PL-HC1</t>
  </si>
  <si>
    <t>175</t>
  </si>
  <si>
    <t>TRIM-T2210-N35-2"-S1PL</t>
  </si>
  <si>
    <t>176</t>
  </si>
  <si>
    <t>TRIM-T2210-N38-2"-S1PL</t>
  </si>
  <si>
    <t>177</t>
  </si>
  <si>
    <t>TRIM-T2210-N47AB-2"-S1PL</t>
  </si>
  <si>
    <t>178</t>
  </si>
  <si>
    <t>TRIM-T2220-N35-2"-S1PL</t>
  </si>
  <si>
    <t>179</t>
  </si>
  <si>
    <t>TRIM-T2220-N38-2"-S1PL</t>
  </si>
  <si>
    <t>180</t>
  </si>
  <si>
    <t>TRIM-T2220-N47AB-2"-S1PL</t>
  </si>
  <si>
    <t>181</t>
  </si>
  <si>
    <t>WW-22101-1"-S1P4-PP1</t>
  </si>
  <si>
    <t>182</t>
  </si>
  <si>
    <t>WW-22201-1.1/2"-S1P4</t>
  </si>
  <si>
    <t>183</t>
  </si>
  <si>
    <t>WW-22202-1.1/2"-S1P4-PP1</t>
  </si>
  <si>
    <t>184</t>
  </si>
  <si>
    <t>WW-22371-1.1/2"-S1P4</t>
  </si>
  <si>
    <t>LINE NO.fix</t>
    <phoneticPr fontId="0" type="noConversion"/>
  </si>
  <si>
    <t>LINE No.1</t>
    <phoneticPr fontId="2" type="noConversion"/>
  </si>
  <si>
    <t>DATE</t>
    <phoneticPr fontId="2" type="noConversion"/>
  </si>
  <si>
    <t>REV</t>
    <phoneticPr fontId="2" type="noConversion"/>
  </si>
  <si>
    <t>NumSheets</t>
    <phoneticPr fontId="0" type="noConversion"/>
  </si>
  <si>
    <t>REMARK.2</t>
  </si>
  <si>
    <t>CW-22101-S1P1-Rev0-001.pdf</t>
  </si>
  <si>
    <t>CW-22101-S1P1-Rev0-002.pdf</t>
  </si>
  <si>
    <t>CW-22101-S1P1-Rev0-003.pdf</t>
  </si>
  <si>
    <t>CW-22102-S1P1-Rev0-001.pdf</t>
  </si>
  <si>
    <t>CW-22102-S1P1-Rev0-002.pdf</t>
  </si>
  <si>
    <t>CW-22102-S1P1-Rev0-003.pdf</t>
  </si>
  <si>
    <t>CW-22103-S1P1-Rev0-001.pdf</t>
  </si>
  <si>
    <t>CW-22103-S1P1-Rev0-002.pdf</t>
  </si>
  <si>
    <t>CW-22104-S1P1-Rev0-001.pdf</t>
  </si>
  <si>
    <t>CW-22104-S1P1-Rev0-002.pdf</t>
  </si>
  <si>
    <t>CW-22104-S1P1-Rev0-003.pdf</t>
  </si>
  <si>
    <t>CW-22105-S1P1-Rev0-001.pdf</t>
  </si>
  <si>
    <t>CW-22105-S1P1-Rev0-002.pdf</t>
  </si>
  <si>
    <t>CW-22106-S1P1-Rev0-001.pdf</t>
  </si>
  <si>
    <t>CW-22106-S1P1-Rev0-002.pdf</t>
  </si>
  <si>
    <t>CW-22106-S1P1-Rev0-003.pdf</t>
  </si>
  <si>
    <t>CW-22201-S1P1-Rev0-001.pdf</t>
  </si>
  <si>
    <t>CW-22201-S1P1-Rev0-002.pdf</t>
  </si>
  <si>
    <t>CW-22201-S1P1-Rev0-003.pdf</t>
  </si>
  <si>
    <t>CW-22202-S1P1-Rev0-001.pdf</t>
  </si>
  <si>
    <t>CW-22202-S1P1-Rev0-002.pdf</t>
  </si>
  <si>
    <t>CW-22202-S1P1-Rev0-003.pdf</t>
  </si>
  <si>
    <t>CW-22203-S1P1-Rev0-001.pdf</t>
  </si>
  <si>
    <t>CW-22203-S1P1-Rev0-002.pdf</t>
  </si>
  <si>
    <t>CW-22204-S1P1-Rev0-001.pdf</t>
  </si>
  <si>
    <t>CW-22204-S1P1-Rev0-002.pdf</t>
  </si>
  <si>
    <t>CW-22204-S1P1-Rev0-003.pdf</t>
  </si>
  <si>
    <t>CW-22204-S1P1-Rev0-004.pdf</t>
  </si>
  <si>
    <t>CW-22205-S1P1-Rev0-001.pdf</t>
  </si>
  <si>
    <t>CW-22205-S1P1-Rev0-002.pdf</t>
  </si>
  <si>
    <t>CW-22206-S1P1-R-Rev0-001.pdf</t>
  </si>
  <si>
    <t>CW-22206-S1P1-R-Rev0-002.pdf</t>
  </si>
  <si>
    <t>CW-22206-S1P1-R-Rev0-003.pdf</t>
  </si>
  <si>
    <t>CW-22351-S1P1-Rev0-001.pdf</t>
  </si>
  <si>
    <t>CW-22351-S1P1-Rev0-002.pdf</t>
  </si>
  <si>
    <t>CW-22352-S1P1-Rev0-001.pdf</t>
  </si>
  <si>
    <t>CW-22352-S1P1-Rev0-002.pdf</t>
  </si>
  <si>
    <t>FO-903A01-S1P1F-Rev0-001.pdf</t>
  </si>
  <si>
    <t>FO-903A01-S1P1F-Rev0-002.pdf</t>
  </si>
  <si>
    <t>FO-903A01-S1P1F-Rev0-003.pdf</t>
  </si>
  <si>
    <t>FO-903A01-S1P1F-Rev0-004.pdf</t>
  </si>
  <si>
    <t>FO-903A01-S1P1F-Rev0-005.pdf</t>
  </si>
  <si>
    <t>FO-903A02-S1P1F-Rev0-001.pdf</t>
  </si>
  <si>
    <t>FO-903A02-S1P1F-Rev0-002.pdf</t>
  </si>
  <si>
    <t>FO-903A02-S1P1F-Rev0-003.pdf</t>
  </si>
  <si>
    <t>FO-903A02-S1P1F-Rev0-004.pdf</t>
  </si>
  <si>
    <t>FO-903A02-S1P1F-Rev0-005.pdf</t>
  </si>
  <si>
    <t>FO-903A03-S1P1F-Rev0-001.pdf</t>
  </si>
  <si>
    <t>FO-903A04-S1P1F-Rev0-001.pdf</t>
  </si>
  <si>
    <t>FO-903A05-S1P1F-Rev0-001.pdf</t>
  </si>
  <si>
    <t>FO-903A06-S1P1F-Rev0-001.pdf</t>
  </si>
  <si>
    <t>FO-903A07-S1P1F-Rev0-001.pdf</t>
  </si>
  <si>
    <t>FO-903A08-S1P1F-Rev0-001.pdf</t>
  </si>
  <si>
    <t>HS-22101-C3S1-Rev0-001.pdf</t>
  </si>
  <si>
    <t>HS-22201-C3S1-Rev0-001.pdf</t>
  </si>
  <si>
    <t>HS-22341-C3S1-Rev0-001.pdf</t>
  </si>
  <si>
    <t>HS-22341-C3S1-Rev0-002.pdf</t>
  </si>
  <si>
    <t>HS-22341-C3S1-Rev0-003.pdf</t>
  </si>
  <si>
    <t>IA-22361-S1P4-Rev0-001.pdf</t>
  </si>
  <si>
    <t>IA-22361-S1P4-Rev0-002.pdf</t>
  </si>
  <si>
    <t>IA-22361-S1P4-Rev0-003.pdf</t>
  </si>
  <si>
    <t>ICW-22101-S1P1-Rev0-001.pdf</t>
  </si>
  <si>
    <t>ICW-22101-S1P1-Rev0-002.pdf</t>
  </si>
  <si>
    <t>ICW-22102-S1P1-Rev0-001.pdf</t>
  </si>
  <si>
    <t>ICW-22102-S1P1-Rev0-002.pdf</t>
  </si>
  <si>
    <t>ICW-22102-S1P1-Rev0-003.pdf</t>
  </si>
  <si>
    <t>ICW-22107-S1P1-Rev0-001.pdf</t>
  </si>
  <si>
    <t>ICW-22108-S1P1-Rev0-001.pdf</t>
  </si>
  <si>
    <t>ICW-22109-S1P1-Rev0-001.pdf</t>
  </si>
  <si>
    <t>ICW-22110-S1P1-Rev0-001.pdf</t>
  </si>
  <si>
    <t>ICW-22201-S1P1-Rev0-001.pdf</t>
  </si>
  <si>
    <t>ICW-22201-S1P1-Rev0-002.pdf</t>
  </si>
  <si>
    <t>ICW-22202-S1P1-Rev0-001.pdf</t>
  </si>
  <si>
    <t>ICW-22202-S1P1-Rev0-002.pdf</t>
  </si>
  <si>
    <t>ICW-22207-S1P1-Rev0-001.pdf</t>
  </si>
  <si>
    <t>ICW-22208-S1P1-Rev0-001.pdf</t>
  </si>
  <si>
    <t>ICW-22352-S1P1-Rev0-001.pdf</t>
  </si>
  <si>
    <t>ICW-22352-S1P1-Rev0-002.pdf</t>
  </si>
  <si>
    <t>IW-22371-C1A1-Rev0-001.pdf</t>
  </si>
  <si>
    <t>IW-22371-C1A1-Rev0-002.pdf</t>
  </si>
  <si>
    <t>IW-22371-C1A1-Rev0-003.pdf</t>
  </si>
  <si>
    <t>IW-22372-C1A1-Rev0-001.pdf</t>
  </si>
  <si>
    <t>IW-22373-C1A1-Rev0-001.pdf</t>
  </si>
  <si>
    <t>IW-22374-C1A1-Rev0-001.pdf</t>
  </si>
  <si>
    <t>IW-22375-C1A1-Rev0-001.pdf</t>
  </si>
  <si>
    <t>IW-22376-C1A1-Rev0-001.pdf</t>
  </si>
  <si>
    <t>IW-22377-C1A1-Rev0-001.pdf</t>
  </si>
  <si>
    <t>IW-22378-C1A1-Rev0-001.pdf</t>
  </si>
  <si>
    <t>LC-22101-C3S1-Rev0-001.pdf</t>
  </si>
  <si>
    <t>LC-22102-C1S1-Rev0-001.pdf</t>
  </si>
  <si>
    <t>LC-22102-C1S1-Rev0-002.pdf</t>
  </si>
  <si>
    <t>LC-22201-C3S1-Rev0-001.pdf</t>
  </si>
  <si>
    <t>LC-22202-C1S1-Rev1-001.PDF</t>
  </si>
  <si>
    <t>LC-22202-C1S1-Rev1-002.PDF</t>
  </si>
  <si>
    <t>LC-22341-C1S1-Rev1-001.PDF</t>
  </si>
  <si>
    <t>LC-22341-C1S1-Rev1-002.PDF</t>
  </si>
  <si>
    <t>MC-22341-C3S1-Rev0-001.pdf</t>
  </si>
  <si>
    <t>MC-22342-C3S1-Rev0-001.pdf</t>
  </si>
  <si>
    <t>MC-22342-C3S1-Rev0-002.pdf</t>
  </si>
  <si>
    <t>MS-22101-C3S1-Rev0-001.pdf</t>
  </si>
  <si>
    <t>MS-22101-C3S1-Rev0-002.pdf</t>
  </si>
  <si>
    <t>MS-22101-C3S1-Rev0-003.pdf</t>
  </si>
  <si>
    <t>MS-22101-C3S1-Rev0-004.pdf</t>
  </si>
  <si>
    <t>MS-22101-C3S1-Rev0-005.pdf</t>
  </si>
  <si>
    <t>MS-22101-C3S1-Rev0-006.pdf</t>
  </si>
  <si>
    <t>MS-22201-C3S1-Rev0-001.pdf</t>
  </si>
  <si>
    <t>MS-22201-C3S1-Rev0-002.pdf</t>
  </si>
  <si>
    <t>MS-22201-C3S1-Rev0-003.pdf</t>
  </si>
  <si>
    <t>MS-22201-C3S1-Rev0-004.pdf</t>
  </si>
  <si>
    <t>MS-22341-C3S1-Rev0-001.pdf</t>
  </si>
  <si>
    <t>MS-22341-C3S1-Rev0-002.pdf</t>
  </si>
  <si>
    <t>MS-22341-C3S1-Rev0-003.pdf</t>
  </si>
  <si>
    <t>MS-22341-C3S1-Rev0-004.pdf</t>
  </si>
  <si>
    <t>NI-22101-S1PL-Rev0-001.pdf</t>
  </si>
  <si>
    <t>NI-22101-S1PL-Rev0-002.pdf</t>
  </si>
  <si>
    <t>NI-22311-S1P4-Rev0-001.pdf</t>
  </si>
  <si>
    <t>NI-22311-S1P4-Rev0-002.pdf</t>
  </si>
  <si>
    <t>NI-22361-S1P4-Rev0-001.pdf</t>
  </si>
  <si>
    <t>NI-22361-S1P4-Rev0-002.pdf</t>
  </si>
  <si>
    <t>NI-22362-S1P4-Rev0-001.pdf</t>
  </si>
  <si>
    <t>NI-22362-S1P4-Rev0-002.pdf</t>
  </si>
  <si>
    <t>NI-22362-S1P4-Rev0-003.pdf</t>
  </si>
  <si>
    <t>NI-22364-S1P4-Rev0-001.pdf</t>
  </si>
  <si>
    <t>NI-22365-S1P4-Rev0-001.pdf</t>
  </si>
  <si>
    <t>NI-22366-S1P4-Rev0-001.pdf</t>
  </si>
  <si>
    <t>NI-22367-S1P4-Rev0-001.pdf</t>
  </si>
  <si>
    <t>NI-22368-S1P4-Rev0-001.pdf</t>
  </si>
  <si>
    <t>NI-22369-S1P4-Rev0-001.pdf</t>
  </si>
  <si>
    <t>NI-22370-S1P4-Rev0-001.pdf</t>
  </si>
  <si>
    <t>P-22101-S1PL-Rev0-001.pdf</t>
  </si>
  <si>
    <t>P-22101-S1PL-Rev0-002.pdf</t>
  </si>
  <si>
    <t>P-22101-S1PL-Rev0-003.pdf</t>
  </si>
  <si>
    <t>P-22101-S1PL-Rev0-004.pdf</t>
  </si>
  <si>
    <t>P-22101-S1PL-Rev0-005.pdf</t>
  </si>
  <si>
    <t>P-22101-S1PL-Rev0-006.pdf</t>
  </si>
  <si>
    <t>P-22101-S1PL-Rev0-007.pdf</t>
  </si>
  <si>
    <t>P-22102-S1PL-Rev0-001.pdf</t>
  </si>
  <si>
    <t>P-22103-S1PL-Rev0-001.pdf</t>
  </si>
  <si>
    <t>P-22104-S1PL-Rev0-001.pdf</t>
  </si>
  <si>
    <t>P-22104-S1PL-Rev0-002.pdf</t>
  </si>
  <si>
    <t>P-22105-S1PL-Rev0-001.pdf</t>
  </si>
  <si>
    <t>P-22106-S1PL-Rev0-001.pdf</t>
  </si>
  <si>
    <t>P-22107-S1PL-Rev0-001.pdf</t>
  </si>
  <si>
    <t>P-22107-S1PL-Rev0-002.pdf</t>
  </si>
  <si>
    <t>P-22107-S1PL-Rev0-003.pdf</t>
  </si>
  <si>
    <t>P-22107-S1PL-Rev0-004.pdf</t>
  </si>
  <si>
    <t>P-22107-S1PL-Rev0-005.pdf</t>
  </si>
  <si>
    <t>P-22108-S1PL-Rev0-001.pdf</t>
  </si>
  <si>
    <t>P-22108-S1PL-Rev0-002.pdf</t>
  </si>
  <si>
    <t>P-22109-S1PL-Rev0-001.pdf</t>
  </si>
  <si>
    <t>P-22110-S1PL-Rev0-001.pdf</t>
  </si>
  <si>
    <t>P-22111-S1PL-Rev0-001.pdf</t>
  </si>
  <si>
    <t>P-22111-S1PL-Rev0-002.pdf</t>
  </si>
  <si>
    <t>P-22112-S1P4-Rev0-001.pdf</t>
  </si>
  <si>
    <t>P-22112-S1P4-Rev0-002.pdf</t>
  </si>
  <si>
    <t>P-22113-S1PL-Rev0-001.pdf</t>
  </si>
  <si>
    <t>P-22113-S1PL-Rev0-002.pdf</t>
  </si>
  <si>
    <t>P-22113-S1PL-Rev0-003.pdf</t>
  </si>
  <si>
    <t>P-22114-S1PL-Rev1-001.PDF</t>
  </si>
  <si>
    <t>P-22114-S1PL-Rev1-002.PDF</t>
  </si>
  <si>
    <t>P-22115-S1PL-Rev0-001.pdf</t>
  </si>
  <si>
    <t>P-22115-S1PL-Rev0-002.pdf</t>
  </si>
  <si>
    <t>P-22116-S1PL-Rev0-001.pdf</t>
  </si>
  <si>
    <t>P-22116-S1PL-Rev0-002.pdf</t>
  </si>
  <si>
    <t>P-22116-S1PL-Rev0-003.pdf</t>
  </si>
  <si>
    <t>P-22116-S1PL-Rev0-004.pdf</t>
  </si>
  <si>
    <t>P-22117-S1PL-Rev0-001.pdf</t>
  </si>
  <si>
    <t>P-22118-S1PL-Rev0-001.pdf</t>
  </si>
  <si>
    <t>P-22118-S1PL-Rev0-002.pdf</t>
  </si>
  <si>
    <t>P-22118-S1PL-Rev0-003.pdf</t>
  </si>
  <si>
    <t>P-22119-S1PL-Rev0-001.pdf</t>
  </si>
  <si>
    <t>P-22119-S1PL-Rev0-002.pdf</t>
  </si>
  <si>
    <t>P-22120-S1PL-Rev0-001.pdf</t>
  </si>
  <si>
    <t>P-22121-S1PL-Rev0-001.pdf</t>
  </si>
  <si>
    <t>P-22122-S1PL-Rev0-001.pdf</t>
  </si>
  <si>
    <t>P-22122-S1PL-Rev0-002.pdf</t>
  </si>
  <si>
    <t>P-22122-S1PL-Rev0-003.pdf</t>
  </si>
  <si>
    <t>P-22122-S1PL-Rev0-004.pdf</t>
  </si>
  <si>
    <t>P-22123-S1P4-Rev0-001.pdf</t>
  </si>
  <si>
    <t>P-22123-S1P4-Rev0-002.pdf</t>
  </si>
  <si>
    <t>P-22123-S1P4-Rev0-003.pdf</t>
  </si>
  <si>
    <t>P-22123-S1P4-Rev0-004.pdf</t>
  </si>
  <si>
    <t>P-22124-S1PL-Rev0-001.pdf</t>
  </si>
  <si>
    <t>P-22125-S1PL-Rev0-001.pdf</t>
  </si>
  <si>
    <t>P-22126-S1PL-Rev0-001.pdf</t>
  </si>
  <si>
    <t>P-22126-S1PL-Rev0-002.pdf</t>
  </si>
  <si>
    <t>P-22126-S1PL-Rev0-003.pdf</t>
  </si>
  <si>
    <t>P-22126-S1PL-Rev0-004.pdf</t>
  </si>
  <si>
    <t>P-22126-S1PL-Rev0-005.pdf</t>
  </si>
  <si>
    <t>P-22127-S1PL-Rev0-001.pdf</t>
  </si>
  <si>
    <t>P-22128-S1PL-Rev0-001.pdf</t>
  </si>
  <si>
    <t>P-22128-S1PL-Rev0-002.pdf</t>
  </si>
  <si>
    <t>P-22129-S1PL-Rev0-001.pdf</t>
  </si>
  <si>
    <t>P-22201-S1PL-Rev0-001.pdf</t>
  </si>
  <si>
    <t>P-22202-S1PL-Rev0-001.pdf</t>
  </si>
  <si>
    <t>P-22203-S1PL-Rev0-001.pdf</t>
  </si>
  <si>
    <t>P-22203-S1PL-Rev0-002.pdf</t>
  </si>
  <si>
    <t>P-22204-S1PL-Rev0-001.pdf</t>
  </si>
  <si>
    <t>P-22205-S1PL-Rev0-001.pdf</t>
  </si>
  <si>
    <t>P-22206-S1PL-Rev0-001.pdf</t>
  </si>
  <si>
    <t>P-22206-S1PL-Rev0-002.pdf</t>
  </si>
  <si>
    <t>P-22206-S1PL-Rev0-003.pdf</t>
  </si>
  <si>
    <t>P-22206-S1PL-Rev0-004.pdf</t>
  </si>
  <si>
    <t>P-22207-S1PL-Rev0-001.pdf</t>
  </si>
  <si>
    <t>P-22207-S1PL-Rev0-002.pdf</t>
  </si>
  <si>
    <t>P-22208-S1PL-Rev0-001.pdf</t>
  </si>
  <si>
    <t>P-22209-S1PL-Rev0-001.pdf</t>
  </si>
  <si>
    <t>P-22216-S1PL-Rev0-001.pdf</t>
  </si>
  <si>
    <t>P-22216-S1PL-Rev0-002.pdf</t>
  </si>
  <si>
    <t>P-22216-S1PL-Rev0-003.pdf</t>
  </si>
  <si>
    <t>P-22216-S1PL-Rev0-004.pdf</t>
  </si>
  <si>
    <t>P-22216-S1PL-Rev0-005.pdf</t>
  </si>
  <si>
    <t>P-22216-S1PL-Rev0-006.pdf</t>
  </si>
  <si>
    <t>P-22216-S1PL-Rev0-007.pdf</t>
  </si>
  <si>
    <t>P-22218-S1PL-Rev0-001.pdf</t>
  </si>
  <si>
    <t>P-22230-S1PL-Rev0-001.pdf</t>
  </si>
  <si>
    <t>P-22230-S1PL-Rev0-002.pdf</t>
  </si>
  <si>
    <t>P-22230-S1PL-Rev0-003.pdf</t>
  </si>
  <si>
    <t>P-22230-S1PL-Rev0-004.pdf</t>
  </si>
  <si>
    <t>P-22231-S1PL-Rev0-001.pdf</t>
  </si>
  <si>
    <t>P-22231-S1PL-Rev0-002.pdf</t>
  </si>
  <si>
    <t>P-22233-S1PL-Rev0-001.pdf</t>
  </si>
  <si>
    <t>P-22233-S1PL-Rev0-002.pdf</t>
  </si>
  <si>
    <t>P-22234-S1PL-Rev0-001.pdf</t>
  </si>
  <si>
    <t>P-22235-S1P1-Rev0-001.pdf</t>
  </si>
  <si>
    <t>PA-22361-C1A2-Rev0-001.pdf</t>
  </si>
  <si>
    <t>PA-22361-C1A2-Rev0-002.pdf</t>
  </si>
  <si>
    <t>PA-22362-C1A2-Rev0-001.pdf</t>
  </si>
  <si>
    <t>PA-22363-C1A2-Rev0-001.pdf</t>
  </si>
  <si>
    <t>PA-22364-C1A2-Rev0-001.pdf</t>
  </si>
  <si>
    <t>PA-22365-C1A2-Rev0-001.pdf</t>
  </si>
  <si>
    <t>PA-22366-C1A2-Rev0-001.pdf</t>
  </si>
  <si>
    <t>PA-22367-C1A2-Rev0-001.pdf</t>
  </si>
  <si>
    <t>PA-22368-C1A2-Rev0-001.pdf</t>
  </si>
  <si>
    <t>PW2-22101-S1P4-Rev0-001.pdf</t>
  </si>
  <si>
    <t>PW2-22371-S1P4-Rev0-001.pdf</t>
  </si>
  <si>
    <t>PW2-22371-S1P4-Rev0-002.pdf</t>
  </si>
  <si>
    <t>PW2-22371-S1P4-Rev0-003.pdf</t>
  </si>
  <si>
    <t>PW2-22372-S1P4-Rev0-001.pdf</t>
  </si>
  <si>
    <t>PW2-22373-S1P4-Rev0-001.pdf</t>
  </si>
  <si>
    <t>PW2-22374-S1P4-Rev0-001.pdf</t>
  </si>
  <si>
    <t>PW2-22375-S1P4-Rev0-001.pdf</t>
  </si>
  <si>
    <t>PW2-22376-S1P4-Rev0-001.pdf</t>
  </si>
  <si>
    <t>PW2-22377-S1P4-Rev0-001.pdf</t>
  </si>
  <si>
    <t>PW2-22378-S1P4-Rev0-001.pdf</t>
  </si>
  <si>
    <t>RH-22101-C1P1-Rev0-001.pdf</t>
  </si>
  <si>
    <t>RH-22101-C1P1-Rev0-002.pdf</t>
  </si>
  <si>
    <t>RH-22102-C1P1-Rev0-001.pdf</t>
  </si>
  <si>
    <t>RH-22201-C1P1-Rev0-001.pdf</t>
  </si>
  <si>
    <t>RH-22201-C1P1-Rev0-002.pdf</t>
  </si>
  <si>
    <t>RH-22202-C1P1-Rev0-001.pdf</t>
  </si>
  <si>
    <t>SW-22371-S1P1-Rev0-001.pdf</t>
  </si>
  <si>
    <t>SW-22371-S1P1-Rev0-002.pdf</t>
  </si>
  <si>
    <t>SW-22372-S1P1-Rev0-001.pdf</t>
  </si>
  <si>
    <t>SW-22373-S1P1-Rev0-001.pdf</t>
  </si>
  <si>
    <t>SW-22374-S1P1-Rev0-001.pdf</t>
  </si>
  <si>
    <t>SW-22375-S1P1-Rev0-001.pdf</t>
  </si>
  <si>
    <t>SW-22376-S1P1-Rev0-001.pdf</t>
  </si>
  <si>
    <t>SW-22377-S1P1-Rev0-001.pdf</t>
  </si>
  <si>
    <t>TRIM-D2210-N8-S1PL-Rev0-001.pdf</t>
  </si>
  <si>
    <t>TRIM-D2210-N35-S1PL-Rev0-001.pdf</t>
  </si>
  <si>
    <t>TRIM-D2210-N45AB-S1PL-Rev0-001.pdf</t>
  </si>
  <si>
    <t>TRIM-D2210-N47AB-S1PL-Rev0-001.pdf</t>
  </si>
  <si>
    <t>TRIM-D2210-N47AB-S1PL-Rev0-002.pdf</t>
  </si>
  <si>
    <t>TRIM-E2210-S3-C3S1-Rev0-001.pdf</t>
  </si>
  <si>
    <t>TRIM-E2210-S4-C3S1-Rev0-001.pdf</t>
  </si>
  <si>
    <t>TRIM-E2211-T3-C1P1-Rev0-001.pdf</t>
  </si>
  <si>
    <t>TRIM-E2211-T4-S1P1-Rev0-001.pdf</t>
  </si>
  <si>
    <t>TRIM-E2212-S3-S1P1-Rev0-001.pdf</t>
  </si>
  <si>
    <t>TRIM-E2212-S4-S1P1-Rev0-001.pdf</t>
  </si>
  <si>
    <t>TRIM-E2212-T4-S1PL-Rev0-001.pdf</t>
  </si>
  <si>
    <t>TRIM-E2213-T3-S1P1-Rev0-001.pdf</t>
  </si>
  <si>
    <t>TRIM-E2213-T4-S1P1-Rev0-001.pdf</t>
  </si>
  <si>
    <t>TRIM-E2214-T3-S1P1-Rev0-001.pdf</t>
  </si>
  <si>
    <t>TRIM-E2214-T4-S1P1-Rev0-001.pdf</t>
  </si>
  <si>
    <t>TRIM-E2220-S3-C3S1-Rev0-001.pdf</t>
  </si>
  <si>
    <t>TRIM-E2220-S4-C3S1-Rev0-001.pdf</t>
  </si>
  <si>
    <t>TRIM-E2222-S3-S1P1-Rev0-001.pdf</t>
  </si>
  <si>
    <t>TRIM-E2222-S4-S1P1-Rev0-001.pdf</t>
  </si>
  <si>
    <t>TRIM-E2224-T3-S1P1-Rev0-001.pdf</t>
  </si>
  <si>
    <t>TRIM-E2224-T4-S1P1-Rev0-001.pdf</t>
  </si>
  <si>
    <t>TRIM-ES151-N2-S1P1-Rev0-001.pdf</t>
  </si>
  <si>
    <t>TRIM-STR22101A-D-S1PL-Rev0-001.pdf</t>
  </si>
  <si>
    <t>TRIM-STR22101A-V-S1PL-Rev0-001.pdf</t>
  </si>
  <si>
    <t>TRIM-STR22101B-D-S1PL-Rev0-001.pdf</t>
  </si>
  <si>
    <t>TRIM-STR22101B-V-S1PL-Rev0-001.pdf</t>
  </si>
  <si>
    <t>TRIM-STR22111A-D-S1PL-Rev0-001.pdf</t>
  </si>
  <si>
    <t>TRIM-STR22111A-V-S1PL-Rev0-001.pdf</t>
  </si>
  <si>
    <t>TRIM-STR22111B-D-S1PL-Rev0-001.pdf</t>
  </si>
  <si>
    <t>TRIM-STR22111B-V-S1PL-Rev0-001.pdf</t>
  </si>
  <si>
    <t>TRIM-STR22201A-D-S1PL-Rev0-001.pdf</t>
  </si>
  <si>
    <t>TRIM-STR22201A-V-S1PL-Rev0-001.pdf</t>
  </si>
  <si>
    <t>TRIM-STR22201B-D-S1PL-Rev0-001.pdf</t>
  </si>
  <si>
    <t>TRIM-STR22201B-V-S1PL-Rev0-001.pdf</t>
  </si>
  <si>
    <t>TRIM-T2210-N47AB-S1PL-Rev1-001.PDF</t>
  </si>
  <si>
    <t>TRIM-T2210-N47AB-S1PL-Rev1-002.PDF</t>
  </si>
  <si>
    <t>TRIM-T2220-N35-S1PL-Rev0-001.pdf</t>
  </si>
  <si>
    <t>TRIM-T2220-N38-S1PL-Rev0-001.pdf</t>
  </si>
  <si>
    <t>TRIM-T2220-N47AB-S1PL-Rev0-001.pdf</t>
  </si>
  <si>
    <t>TRIM-T2220-N47AB-S1PL-Rev0-002.pdf</t>
  </si>
  <si>
    <t>WW-22101-S1P4-Rev0-001.pdf</t>
  </si>
  <si>
    <t>WW-22101-S1P4-Rev0-002.pdf</t>
  </si>
  <si>
    <t>WW-22201-S1P4-Rev0-001.pdf</t>
  </si>
  <si>
    <t>WW-22202-S1P4-Rev0-001.pdf</t>
  </si>
  <si>
    <t>WW-22202-S1P4-Rev0-002.pdf</t>
  </si>
  <si>
    <t>WW-22371-S1P4-Rev0-001.pdf</t>
  </si>
  <si>
    <t>WW-22371-S1P4-Rev0-002.pdf</t>
  </si>
  <si>
    <t>WW-22371-S1P4-Rev0-003.pdf</t>
  </si>
  <si>
    <t>WW-22371-S1P4-Rev0-004.pdf</t>
  </si>
  <si>
    <t>WW-22371-S1P4-Rev0-005.pdf</t>
  </si>
  <si>
    <t>file</t>
  </si>
  <si>
    <t>LINE NO.</t>
  </si>
  <si>
    <t>NumSheets</t>
  </si>
  <si>
    <t>Revision</t>
  </si>
  <si>
    <t>SheetIndex</t>
  </si>
  <si>
    <t>chk.NumSheets</t>
  </si>
  <si>
    <t>file_basename</t>
  </si>
  <si>
    <t>chk.rev</t>
  </si>
  <si>
    <t>流水號</t>
  </si>
  <si>
    <t>管線編號</t>
  </si>
  <si>
    <t>ICW-22351-S1P1-Rev0-001.pdf</t>
  </si>
  <si>
    <t>ICW-22351-S1P1-Rev0-002.pdf</t>
  </si>
  <si>
    <t>總計</t>
  </si>
  <si>
    <t>CW-22101-S1P1-Rev0-001</t>
  </si>
  <si>
    <t>CW-22101-S1P1-Rev0-002</t>
  </si>
  <si>
    <t>CW-22101-S1P1-Rev0-003</t>
  </si>
  <si>
    <t>CW-22102-S1P1-Rev0-001</t>
  </si>
  <si>
    <t>CW-22102-S1P1-Rev0-002</t>
  </si>
  <si>
    <t>CW-22102-S1P1-Rev0-003</t>
  </si>
  <si>
    <t>CW-22103-S1P1-Rev0-001</t>
  </si>
  <si>
    <t>CW-22103-S1P1-Rev0-002</t>
  </si>
  <si>
    <t>CW-22104-S1P1-Rev0-001</t>
  </si>
  <si>
    <t>CW-22104-S1P1-Rev0-002</t>
  </si>
  <si>
    <t>CW-22104-S1P1-Rev0-003</t>
  </si>
  <si>
    <t>CW-22105-S1P1-Rev0-001</t>
  </si>
  <si>
    <t>CW-22105-S1P1-Rev0-002</t>
  </si>
  <si>
    <t>CW-22106-S1P1-Rev0-001</t>
  </si>
  <si>
    <t>CW-22106-S1P1-Rev0-002</t>
  </si>
  <si>
    <t>CW-22106-S1P1-Rev0-003</t>
  </si>
  <si>
    <t>CW-22201-S1P1-Rev0-001</t>
  </si>
  <si>
    <t>CW-22201-S1P1-Rev0-002</t>
  </si>
  <si>
    <t>CW-22201-S1P1-Rev0-003</t>
  </si>
  <si>
    <t>CW-22202-S1P1-Rev0-001</t>
  </si>
  <si>
    <t>CW-22202-S1P1-Rev0-002</t>
  </si>
  <si>
    <t>CW-22202-S1P1-Rev0-003</t>
  </si>
  <si>
    <t>CW-22203-S1P1-Rev0-001</t>
  </si>
  <si>
    <t>CW-22203-S1P1-Rev0-002</t>
  </si>
  <si>
    <t>CW-22204-S1P1-Rev0-001</t>
  </si>
  <si>
    <t>CW-22204-S1P1-Rev0-002</t>
  </si>
  <si>
    <t>CW-22204-S1P1-Rev0-003</t>
  </si>
  <si>
    <t>CW-22204-S1P1-Rev0-004</t>
  </si>
  <si>
    <t>CW-22205-S1P1-Rev0-001</t>
  </si>
  <si>
    <t>CW-22205-S1P1-Rev0-002</t>
  </si>
  <si>
    <t>CW-22206-S1P1-R-Rev0-001</t>
  </si>
  <si>
    <t>CW-22206-S1P1-R-Rev0-002</t>
  </si>
  <si>
    <t>CW-22206-S1P1-R-Rev0-003</t>
  </si>
  <si>
    <t>CW-22351-S1P1-Rev0-001</t>
  </si>
  <si>
    <t>CW-22351-S1P1-Rev0-002</t>
  </si>
  <si>
    <t>CW-22352-S1P1-Rev0-001</t>
  </si>
  <si>
    <t>CW-22352-S1P1-Rev0-002</t>
  </si>
  <si>
    <t>FO-903A01-S1P1F-Rev0-001</t>
  </si>
  <si>
    <t>FO-903A01-S1P1F-Rev0-002</t>
  </si>
  <si>
    <t>FO-903A01-S1P1F-Rev0-003</t>
  </si>
  <si>
    <t>FO-903A01-S1P1F-Rev0-004</t>
  </si>
  <si>
    <t>FO-903A01-S1P1F-Rev0-005</t>
  </si>
  <si>
    <t>FO-903A02-S1P1F-Rev0-001</t>
  </si>
  <si>
    <t>FO-903A02-S1P1F-Rev0-002</t>
  </si>
  <si>
    <t>FO-903A02-S1P1F-Rev0-003</t>
  </si>
  <si>
    <t>FO-903A02-S1P1F-Rev0-004</t>
  </si>
  <si>
    <t>FO-903A02-S1P1F-Rev0-005</t>
  </si>
  <si>
    <t>FO-903A03-S1P1F-Rev0-001</t>
  </si>
  <si>
    <t>FO-903A04-S1P1F-Rev0-001</t>
  </si>
  <si>
    <t>FO-903A05-S1P1F-Rev0-001</t>
  </si>
  <si>
    <t>FO-903A06-S1P1F-Rev0-001</t>
  </si>
  <si>
    <t>FO-903A07-S1P1F-Rev0-001</t>
  </si>
  <si>
    <t>FO-903A08-S1P1F-Rev0-001</t>
  </si>
  <si>
    <t>HS-22101-C3S1-Rev0-001</t>
  </si>
  <si>
    <t>HS-22201-C3S1-Rev0-001</t>
  </si>
  <si>
    <t>HS-22341-C3S1-Rev0-001</t>
  </si>
  <si>
    <t>HS-22341-C3S1-Rev0-002</t>
  </si>
  <si>
    <t>HS-22341-C3S1-Rev0-003</t>
  </si>
  <si>
    <t>IA-22361-S1P4-Rev0-001</t>
  </si>
  <si>
    <t>IA-22361-S1P4-Rev0-002</t>
  </si>
  <si>
    <t>IA-22361-S1P4-Rev0-003</t>
  </si>
  <si>
    <t>ICW-22101-S1P1-Rev0-001</t>
  </si>
  <si>
    <t>ICW-22101-S1P1-Rev0-002</t>
  </si>
  <si>
    <t>ICW-22102-S1P1-Rev0-001</t>
  </si>
  <si>
    <t>ICW-22102-S1P1-Rev0-002</t>
  </si>
  <si>
    <t>ICW-22102-S1P1-Rev0-003</t>
  </si>
  <si>
    <t>ICW-22107-S1P1-Rev0-001</t>
  </si>
  <si>
    <t>ICW-22108-S1P1-Rev0-001</t>
  </si>
  <si>
    <t>ICW-22109-S1P1-Rev0-001</t>
  </si>
  <si>
    <t>ICW-22110-S1P1-Rev0-001</t>
  </si>
  <si>
    <t>ICW-22201-S1P1-Rev0-001</t>
  </si>
  <si>
    <t>ICW-22201-S1P1-Rev0-002</t>
  </si>
  <si>
    <t>ICW-22202-S1P1-Rev0-001</t>
  </si>
  <si>
    <t>ICW-22202-S1P1-Rev0-002</t>
  </si>
  <si>
    <t>ICW-22207-S1P1-Rev0-001</t>
  </si>
  <si>
    <t>ICW-22208-S1P1-Rev0-001</t>
  </si>
  <si>
    <t>ICW-22352-S1P1-Rev0-001</t>
  </si>
  <si>
    <t>ICW-22352-S1P1-Rev0-002</t>
  </si>
  <si>
    <t>ICW-22351-S1P1-Rev0-001</t>
  </si>
  <si>
    <t>ICW-22351-S1P1-Rev0-002</t>
  </si>
  <si>
    <t>IW-22371-C1A1-Rev0-001</t>
  </si>
  <si>
    <t>IW-22371-C1A1-Rev0-002</t>
  </si>
  <si>
    <t>IW-22371-C1A1-Rev0-003</t>
  </si>
  <si>
    <t>IW-22372-C1A1-Rev0-001</t>
  </si>
  <si>
    <t>IW-22373-C1A1-Rev0-001</t>
  </si>
  <si>
    <t>IW-22374-C1A1-Rev0-001</t>
  </si>
  <si>
    <t>IW-22375-C1A1-Rev0-001</t>
  </si>
  <si>
    <t>IW-22376-C1A1-Rev0-001</t>
  </si>
  <si>
    <t>IW-22377-C1A1-Rev0-001</t>
  </si>
  <si>
    <t>IW-22378-C1A1-Rev0-001</t>
  </si>
  <si>
    <t>LC-22101-C3S1-Rev0-001</t>
  </si>
  <si>
    <t>LC-22102-C1S1-Rev0-001</t>
  </si>
  <si>
    <t>LC-22102-C1S1-Rev0-002</t>
  </si>
  <si>
    <t>LC-22201-C3S1-Rev0-001</t>
  </si>
  <si>
    <t>LC-22202-C1S1-Rev1-001</t>
  </si>
  <si>
    <t>LC-22202-C1S1-Rev1-002</t>
  </si>
  <si>
    <t>LC-22341-C1S1-Rev1-001</t>
  </si>
  <si>
    <t>LC-22341-C1S1-Rev1-002</t>
  </si>
  <si>
    <t>MC-22341-C3S1-Rev0-001</t>
  </si>
  <si>
    <t>MC-22342-C3S1-Rev0-001</t>
  </si>
  <si>
    <t>MC-22342-C3S1-Rev0-002</t>
  </si>
  <si>
    <t>MS-22101-C3S1-Rev0-001</t>
  </si>
  <si>
    <t>MS-22101-C3S1-Rev0-002</t>
  </si>
  <si>
    <t>MS-22101-C3S1-Rev0-003</t>
  </si>
  <si>
    <t>MS-22101-C3S1-Rev0-004</t>
  </si>
  <si>
    <t>MS-22101-C3S1-Rev0-005</t>
  </si>
  <si>
    <t>MS-22101-C3S1-Rev0-006</t>
  </si>
  <si>
    <t>MS-22201-C3S1-Rev0-001</t>
  </si>
  <si>
    <t>MS-22201-C3S1-Rev0-002</t>
  </si>
  <si>
    <t>MS-22201-C3S1-Rev0-003</t>
  </si>
  <si>
    <t>MS-22201-C3S1-Rev0-004</t>
  </si>
  <si>
    <t>MS-22341-C3S1-Rev0-001</t>
  </si>
  <si>
    <t>MS-22341-C3S1-Rev0-002</t>
  </si>
  <si>
    <t>MS-22341-C3S1-Rev0-003</t>
  </si>
  <si>
    <t>MS-22341-C3S1-Rev0-004</t>
  </si>
  <si>
    <t>NI-22101-S1PL-Rev0-001</t>
  </si>
  <si>
    <t>NI-22101-S1PL-Rev0-002</t>
  </si>
  <si>
    <t>NI-22311-S1P4-Rev0-001</t>
  </si>
  <si>
    <t>NI-22311-S1P4-Rev0-002</t>
  </si>
  <si>
    <t>NI-22361-S1P4-Rev0-001</t>
  </si>
  <si>
    <t>NI-22361-S1P4-Rev0-002</t>
  </si>
  <si>
    <t>NI-22362-S1P4-Rev0-001</t>
  </si>
  <si>
    <t>NI-22362-S1P4-Rev0-002</t>
  </si>
  <si>
    <t>NI-22362-S1P4-Rev0-003</t>
  </si>
  <si>
    <t>NI-22364-S1P4-Rev0-001</t>
  </si>
  <si>
    <t>NI-22365-S1P4-Rev0-001</t>
  </si>
  <si>
    <t>NI-22366-S1P4-Rev0-001</t>
  </si>
  <si>
    <t>NI-22367-S1P4-Rev0-001</t>
  </si>
  <si>
    <t>NI-22368-S1P4-Rev0-001</t>
  </si>
  <si>
    <t>NI-22369-S1P4-Rev0-001</t>
  </si>
  <si>
    <t>NI-22370-S1P4-Rev0-001</t>
  </si>
  <si>
    <t>P-22101-S1PL-Rev0-001</t>
  </si>
  <si>
    <t>P-22101-S1PL-Rev0-002</t>
  </si>
  <si>
    <t>P-22101-S1PL-Rev0-003</t>
  </si>
  <si>
    <t>P-22101-S1PL-Rev0-004</t>
  </si>
  <si>
    <t>P-22101-S1PL-Rev0-005</t>
  </si>
  <si>
    <t>P-22101-S1PL-Rev0-006</t>
  </si>
  <si>
    <t>P-22101-S1PL-Rev0-007</t>
  </si>
  <si>
    <t>P-22102-S1PL-Rev0-001</t>
  </si>
  <si>
    <t>P-22103-S1PL-Rev0-001</t>
  </si>
  <si>
    <t>P-22104-S1PL-Rev0-001</t>
  </si>
  <si>
    <t>P-22104-S1PL-Rev0-002</t>
  </si>
  <si>
    <t>P-22105-S1PL-Rev0-001</t>
  </si>
  <si>
    <t>P-22106-S1PL-Rev0-001</t>
  </si>
  <si>
    <t>P-22107-S1PL-Rev0-001</t>
  </si>
  <si>
    <t>P-22107-S1PL-Rev0-002</t>
  </si>
  <si>
    <t>P-22107-S1PL-Rev0-003</t>
  </si>
  <si>
    <t>P-22107-S1PL-Rev0-004</t>
  </si>
  <si>
    <t>P-22107-S1PL-Rev0-005</t>
  </si>
  <si>
    <t>P-22108-S1PL-Rev0-001</t>
  </si>
  <si>
    <t>P-22108-S1PL-Rev0-002</t>
  </si>
  <si>
    <t>P-22109-S1PL-Rev0-001</t>
  </si>
  <si>
    <t>P-22110-S1PL-Rev0-001</t>
  </si>
  <si>
    <t>P-22111-S1PL-Rev0-001</t>
  </si>
  <si>
    <t>P-22111-S1PL-Rev0-002</t>
  </si>
  <si>
    <t>P-22112-S1P4-Rev0-001</t>
  </si>
  <si>
    <t>P-22112-S1P4-Rev0-002</t>
  </si>
  <si>
    <t>P-22113-S1PL-Rev0-001</t>
  </si>
  <si>
    <t>P-22113-S1PL-Rev0-002</t>
  </si>
  <si>
    <t>P-22113-S1PL-Rev0-003</t>
  </si>
  <si>
    <t>P-22114-S1PL-Rev1-001</t>
  </si>
  <si>
    <t>P-22114-S1PL-Rev1-002</t>
  </si>
  <si>
    <t>P-22115-S1PL-Rev0-001</t>
  </si>
  <si>
    <t>P-22115-S1PL-Rev0-002</t>
  </si>
  <si>
    <t>P-22116-S1PL-Rev0-001</t>
  </si>
  <si>
    <t>P-22116-S1PL-Rev0-002</t>
  </si>
  <si>
    <t>P-22116-S1PL-Rev0-003</t>
  </si>
  <si>
    <t>P-22116-S1PL-Rev0-004</t>
  </si>
  <si>
    <t>P-22117-S1PL-Rev0-001</t>
  </si>
  <si>
    <t>P-22118-S1PL-Rev0-001</t>
  </si>
  <si>
    <t>P-22118-S1PL-Rev0-002</t>
  </si>
  <si>
    <t>P-22118-S1PL-Rev0-003</t>
  </si>
  <si>
    <t>P-22119-S1PL-Rev0-001</t>
  </si>
  <si>
    <t>P-22119-S1PL-Rev0-002</t>
  </si>
  <si>
    <t>P-22120-S1PL-Rev0-001</t>
  </si>
  <si>
    <t>P-22121-S1PL-Rev0-001</t>
  </si>
  <si>
    <t>P-22122-S1PL-Rev0-001</t>
  </si>
  <si>
    <t>P-22122-S1PL-Rev0-002</t>
  </si>
  <si>
    <t>P-22122-S1PL-Rev0-003</t>
  </si>
  <si>
    <t>P-22122-S1PL-Rev0-004</t>
  </si>
  <si>
    <t>P-22123-S1P4-Rev0-001</t>
  </si>
  <si>
    <t>P-22123-S1P4-Rev0-002</t>
  </si>
  <si>
    <t>P-22123-S1P4-Rev0-003</t>
  </si>
  <si>
    <t>P-22123-S1P4-Rev0-004</t>
  </si>
  <si>
    <t>P-22124-S1PL-Rev0-001</t>
  </si>
  <si>
    <t>P-22125-S1PL-Rev0-001</t>
  </si>
  <si>
    <t>P-22126-S1PL-Rev0-001</t>
  </si>
  <si>
    <t>P-22126-S1PL-Rev0-002</t>
  </si>
  <si>
    <t>P-22126-S1PL-Rev0-003</t>
  </si>
  <si>
    <t>P-22126-S1PL-Rev0-004</t>
  </si>
  <si>
    <t>P-22126-S1PL-Rev0-005</t>
  </si>
  <si>
    <t>P-22127-S1PL-Rev0-001</t>
  </si>
  <si>
    <t>P-22128-S1PL-Rev0-001</t>
  </si>
  <si>
    <t>P-22128-S1PL-Rev0-002</t>
  </si>
  <si>
    <t>P-22129-S1PL-Rev0-001</t>
  </si>
  <si>
    <t>P-22201-S1PL-Rev0-001</t>
  </si>
  <si>
    <t>P-22202-S1PL-Rev0-001</t>
  </si>
  <si>
    <t>P-22203-S1PL-Rev0-001</t>
  </si>
  <si>
    <t>P-22203-S1PL-Rev0-002</t>
  </si>
  <si>
    <t>P-22204-S1PL-Rev0-001</t>
  </si>
  <si>
    <t>P-22205-S1PL-Rev0-001</t>
  </si>
  <si>
    <t>P-22206-S1PL-Rev0-001</t>
  </si>
  <si>
    <t>P-22206-S1PL-Rev0-002</t>
  </si>
  <si>
    <t>P-22206-S1PL-Rev0-003</t>
  </si>
  <si>
    <t>P-22206-S1PL-Rev0-004</t>
  </si>
  <si>
    <t>P-22207-S1PL-Rev0-001</t>
  </si>
  <si>
    <t>P-22207-S1PL-Rev0-002</t>
  </si>
  <si>
    <t>P-22208-S1PL-Rev0-001</t>
  </si>
  <si>
    <t>P-22209-S1PL-Rev0-001</t>
  </si>
  <si>
    <t>P-22216-S1PL-Rev0-001</t>
  </si>
  <si>
    <t>P-22216-S1PL-Rev0-002</t>
  </si>
  <si>
    <t>P-22216-S1PL-Rev0-003</t>
  </si>
  <si>
    <t>P-22216-S1PL-Rev0-004</t>
  </si>
  <si>
    <t>P-22216-S1PL-Rev0-005</t>
  </si>
  <si>
    <t>P-22216-S1PL-Rev0-006</t>
  </si>
  <si>
    <t>P-22216-S1PL-Rev0-007</t>
  </si>
  <si>
    <t>P-22218-S1PL-Rev0-001</t>
  </si>
  <si>
    <t>P-22230-S1PL-Rev0-001</t>
  </si>
  <si>
    <t>P-22230-S1PL-Rev0-002</t>
  </si>
  <si>
    <t>P-22230-S1PL-Rev0-003</t>
  </si>
  <si>
    <t>P-22230-S1PL-Rev0-004</t>
  </si>
  <si>
    <t>P-22231-S1PL-Rev0-001</t>
  </si>
  <si>
    <t>P-22231-S1PL-Rev0-002</t>
  </si>
  <si>
    <t>P-22233-S1PL-Rev0-001</t>
  </si>
  <si>
    <t>P-22233-S1PL-Rev0-002</t>
  </si>
  <si>
    <t>P-22234-S1PL-Rev0-001</t>
  </si>
  <si>
    <t>P-22235-S1P1-Rev0-001</t>
  </si>
  <si>
    <t>PA-22361-C1A2-Rev0-001</t>
  </si>
  <si>
    <t>PA-22361-C1A2-Rev0-002</t>
  </si>
  <si>
    <t>PA-22362-C1A2-Rev0-001</t>
  </si>
  <si>
    <t>PA-22363-C1A2-Rev0-001</t>
  </si>
  <si>
    <t>PA-22364-C1A2-Rev0-001</t>
  </si>
  <si>
    <t>PA-22365-C1A2-Rev0-001</t>
  </si>
  <si>
    <t>PA-22366-C1A2-Rev0-001</t>
  </si>
  <si>
    <t>PA-22367-C1A2-Rev0-001</t>
  </si>
  <si>
    <t>PA-22368-C1A2-Rev0-001</t>
  </si>
  <si>
    <t>PW2-22101-S1P4-Rev0-001</t>
  </si>
  <si>
    <t>PW2-22371-S1P4-Rev0-001</t>
  </si>
  <si>
    <t>PW2-22371-S1P4-Rev0-002</t>
  </si>
  <si>
    <t>PW2-22371-S1P4-Rev0-003</t>
  </si>
  <si>
    <t>PW2-22372-S1P4-Rev0-001</t>
  </si>
  <si>
    <t>PW2-22373-S1P4-Rev0-001</t>
  </si>
  <si>
    <t>PW2-22374-S1P4-Rev0-001</t>
  </si>
  <si>
    <t>PW2-22375-S1P4-Rev0-001</t>
  </si>
  <si>
    <t>PW2-22376-S1P4-Rev0-001</t>
  </si>
  <si>
    <t>PW2-22377-S1P4-Rev0-001</t>
  </si>
  <si>
    <t>PW2-22378-S1P4-Rev0-001</t>
  </si>
  <si>
    <t>RH-22101-C1P1-Rev0-001</t>
  </si>
  <si>
    <t>RH-22101-C1P1-Rev0-002</t>
  </si>
  <si>
    <t>RH-22102-C1P1-Rev0-001</t>
  </si>
  <si>
    <t>RH-22201-C1P1-Rev0-001</t>
  </si>
  <si>
    <t>RH-22201-C1P1-Rev0-002</t>
  </si>
  <si>
    <t>RH-22202-C1P1-Rev0-001</t>
  </si>
  <si>
    <t>SW-22371-S1P1-Rev0-001</t>
  </si>
  <si>
    <t>SW-22371-S1P1-Rev0-002</t>
  </si>
  <si>
    <t>SW-22372-S1P1-Rev0-001</t>
  </si>
  <si>
    <t>SW-22373-S1P1-Rev0-001</t>
  </si>
  <si>
    <t>SW-22374-S1P1-Rev0-001</t>
  </si>
  <si>
    <t>SW-22375-S1P1-Rev0-001</t>
  </si>
  <si>
    <t>SW-22376-S1P1-Rev0-001</t>
  </si>
  <si>
    <t>SW-22377-S1P1-Rev0-001</t>
  </si>
  <si>
    <t>TRIM-D2210-N8-S1PL-Rev0-001</t>
  </si>
  <si>
    <t>TRIM-D2210-N35-S1PL-Rev0-001</t>
  </si>
  <si>
    <t>TRIM-D2210-N45AB-S1PL-Rev0-001</t>
  </si>
  <si>
    <t>TRIM-D2210-N47AB-S1PL-Rev0-001</t>
  </si>
  <si>
    <t>TRIM-D2210-N47AB-S1PL-Rev0-002</t>
  </si>
  <si>
    <t>TRIM-E2210-S3-C3S1-Rev0-001</t>
  </si>
  <si>
    <t>TRIM-E2210-S4-C3S1-Rev0-001</t>
  </si>
  <si>
    <t>TRIM-E2211-T3-C1P1-Rev0-001</t>
  </si>
  <si>
    <t>TRIM-E2211-T4-S1P1-Rev0-001</t>
  </si>
  <si>
    <t>TRIM-E2212-S3-S1P1-Rev0-001</t>
  </si>
  <si>
    <t>TRIM-E2212-S4-S1P1-Rev0-001</t>
  </si>
  <si>
    <t>TRIM-E2212-T4-S1PL-Rev0-001</t>
  </si>
  <si>
    <t>TRIM-E2213-T3-S1P1-Rev0-001</t>
  </si>
  <si>
    <t>TRIM-E2213-T4-S1P1-Rev0-001</t>
  </si>
  <si>
    <t>TRIM-E2214-T3-S1P1-Rev0-001</t>
  </si>
  <si>
    <t>TRIM-E2214-T4-S1P1-Rev0-001</t>
  </si>
  <si>
    <t>TRIM-E2220-S3-C3S1-Rev0-001</t>
  </si>
  <si>
    <t>TRIM-E2220-S4-C3S1-Rev0-001</t>
  </si>
  <si>
    <t>TRIM-E2222-S3-S1P1-Rev0-001</t>
  </si>
  <si>
    <t>TRIM-E2222-S4-S1P1-Rev0-001</t>
  </si>
  <si>
    <t>TRIM-E2224-T3-S1P1-Rev0-001</t>
  </si>
  <si>
    <t>TRIM-E2224-T4-S1P1-Rev0-001</t>
  </si>
  <si>
    <t>TRIM-ES151-N2-S1P1-Rev0-001</t>
  </si>
  <si>
    <t>TRIM-STR22101A-D-S1PL-Rev0-001</t>
  </si>
  <si>
    <t>TRIM-STR22101A-V-S1PL-Rev0-001</t>
  </si>
  <si>
    <t>TRIM-STR22101B-D-S1PL-Rev0-001</t>
  </si>
  <si>
    <t>TRIM-STR22101B-V-S1PL-Rev0-001</t>
  </si>
  <si>
    <t>TRIM-STR22111A-D-S1PL-Rev0-001</t>
  </si>
  <si>
    <t>TRIM-STR22111A-V-S1PL-Rev0-001</t>
  </si>
  <si>
    <t>TRIM-STR22111B-D-S1PL-Rev0-001</t>
  </si>
  <si>
    <t>TRIM-STR22111B-V-S1PL-Rev0-001</t>
  </si>
  <si>
    <t>TRIM-STR22201A-D-S1PL-Rev0-001</t>
  </si>
  <si>
    <t>TRIM-STR22201A-V-S1PL-Rev0-001</t>
  </si>
  <si>
    <t>TRIM-STR22201B-D-S1PL-Rev0-001</t>
  </si>
  <si>
    <t>TRIM-STR22201B-V-S1PL-Rev0-001</t>
  </si>
  <si>
    <t>TRIM-T2210-N47AB-S1PL-Rev1-001</t>
  </si>
  <si>
    <t>TRIM-T2210-N47AB-S1PL-Rev1-002</t>
  </si>
  <si>
    <t>TRIM-T2220-N35-S1PL-Rev0-001</t>
  </si>
  <si>
    <t>TRIM-T2220-N38-S1PL-Rev0-001</t>
  </si>
  <si>
    <t>TRIM-T2220-N47AB-S1PL-Rev0-001</t>
  </si>
  <si>
    <t>TRIM-T2220-N47AB-S1PL-Rev0-002</t>
  </si>
  <si>
    <t>WW-22101-S1P4-Rev0-001</t>
  </si>
  <si>
    <t>WW-22101-S1P4-Rev0-002</t>
  </si>
  <si>
    <t>WW-22201-S1P4-Rev0-001</t>
  </si>
  <si>
    <t>WW-22202-S1P4-Rev0-001</t>
  </si>
  <si>
    <t>WW-22202-S1P4-Rev0-002</t>
  </si>
  <si>
    <t>WW-22371-S1P4-Rev0-001</t>
  </si>
  <si>
    <t>WW-22371-S1P4-Rev0-002</t>
  </si>
  <si>
    <t>WW-22371-S1P4-Rev0-003</t>
  </si>
  <si>
    <t>WW-22371-S1P4-Rev0-004</t>
  </si>
  <si>
    <t>WW-22371-S1P4-Rev0-005</t>
  </si>
  <si>
    <t>0</t>
  </si>
  <si>
    <t>1</t>
  </si>
  <si>
    <t>溶劑5廠ISO圖號清單-114.12.27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</si>
</sst>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FKaiShu-SB-Estd-BF"/>
      <family val="2"/>
    </font>
    <font>
      <sz val="12"/>
      <color theme="1"/>
      <name val="新細明體"/>
      <family val="2"/>
      <charset val="136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rgb="FFFF0000"/>
      <name val="Times New Roman"/>
      <family val="1"/>
    </font>
    <font>
      <sz val="9"/>
      <name val="細明體"/>
      <family val="3"/>
      <charset val="136"/>
    </font>
    <font>
      <b/>
      <sz val="14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1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1" applyNumberFormat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5" fillId="0" borderId="1" xfId="1" applyFont="1" applyBorder="1">
      <alignment vertical="center"/>
    </xf>
    <xf numFmtId="0" fontId="1" fillId="0" borderId="1" xfId="1" applyBorder="1">
      <alignment vertical="center"/>
    </xf>
    <xf numFmtId="14" fontId="6" fillId="0" borderId="1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3" borderId="2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0" xfId="0" applyFill="1"/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pivotButton="1" applyBorder="1" applyAlignment="1">
      <alignment horizontal="center" vertical="center"/>
    </xf>
    <xf numFmtId="0" fontId="0" fillId="0" borderId="6" xfId="0" pivotButton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8" fillId="0" borderId="0" xfId="0" applyFont="1" applyAlignment="1">
      <alignment horizontal="center" vertical="center"/>
    </xf>
    <xf numFmtId="0" fontId="0" fillId="0" borderId="8" xfId="0" applyBorder="1"/>
  </cellXfs>
  <cellStyles count="2">
    <cellStyle name="一般" xfId="0" builtinId="0"/>
    <cellStyle name="一般 19" xfId="1" xr:uid="{4CCFC31E-F7D3-2F4B-8990-E8317B0308A8}"/>
  </cellStyles>
  <dxfs count="825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Lee" refreshedDate="46050.675231134257" createdVersion="8" refreshedVersion="8" minRefreshableVersion="3" recordCount="312" xr:uid="{B67DC433-F198-414D-BC23-D7B9FBA9EB03}">
  <cacheSource type="worksheet">
    <worksheetSource name="表格1"/>
  </cacheSource>
  <cacheFields count="10">
    <cacheField name="file" numFmtId="0">
      <sharedItems count="312">
        <s v="CW-22101-S1P1-Rev0-001.pdf"/>
        <s v="CW-22101-S1P1-Rev0-002.pdf"/>
        <s v="CW-22101-S1P1-Rev0-003.pdf"/>
        <s v="CW-22102-S1P1-Rev0-001.pdf"/>
        <s v="CW-22102-S1P1-Rev0-002.pdf"/>
        <s v="CW-22102-S1P1-Rev0-003.pdf"/>
        <s v="CW-22103-S1P1-Rev0-001.pdf"/>
        <s v="CW-22103-S1P1-Rev0-002.pdf"/>
        <s v="CW-22104-S1P1-Rev0-001.pdf"/>
        <s v="CW-22104-S1P1-Rev0-002.pdf"/>
        <s v="CW-22104-S1P1-Rev0-003.pdf"/>
        <s v="CW-22105-S1P1-Rev0-001.pdf"/>
        <s v="CW-22105-S1P1-Rev0-002.pdf"/>
        <s v="CW-22106-S1P1-Rev0-001.pdf"/>
        <s v="CW-22106-S1P1-Rev0-002.pdf"/>
        <s v="CW-22106-S1P1-Rev0-003.pdf"/>
        <s v="CW-22201-S1P1-Rev0-001.pdf"/>
        <s v="CW-22201-S1P1-Rev0-002.pdf"/>
        <s v="CW-22201-S1P1-Rev0-003.pdf"/>
        <s v="CW-22202-S1P1-Rev0-001.pdf"/>
        <s v="CW-22202-S1P1-Rev0-002.pdf"/>
        <s v="CW-22202-S1P1-Rev0-003.pdf"/>
        <s v="CW-22203-S1P1-Rev0-001.pdf"/>
        <s v="CW-22203-S1P1-Rev0-002.pdf"/>
        <s v="CW-22204-S1P1-Rev0-001.pdf"/>
        <s v="CW-22204-S1P1-Rev0-002.pdf"/>
        <s v="CW-22204-S1P1-Rev0-003.pdf"/>
        <s v="CW-22204-S1P1-Rev0-004.pdf"/>
        <s v="CW-22205-S1P1-Rev0-001.pdf"/>
        <s v="CW-22205-S1P1-Rev0-002.pdf"/>
        <s v="CW-22206-S1P1-R-Rev0-001.pdf"/>
        <s v="CW-22206-S1P1-R-Rev0-002.pdf"/>
        <s v="CW-22206-S1P1-R-Rev0-003.pdf"/>
        <s v="CW-22351-S1P1-Rev0-001.pdf"/>
        <s v="CW-22351-S1P1-Rev0-002.pdf"/>
        <s v="CW-22352-S1P1-Rev0-001.pdf"/>
        <s v="CW-22352-S1P1-Rev0-002.pdf"/>
        <s v="FO-903A01-S1P1F-Rev0-001.pdf"/>
        <s v="FO-903A01-S1P1F-Rev0-002.pdf"/>
        <s v="FO-903A01-S1P1F-Rev0-003.pdf"/>
        <s v="FO-903A01-S1P1F-Rev0-004.pdf"/>
        <s v="FO-903A01-S1P1F-Rev0-005.pdf"/>
        <s v="FO-903A02-S1P1F-Rev0-001.pdf"/>
        <s v="FO-903A02-S1P1F-Rev0-002.pdf"/>
        <s v="FO-903A02-S1P1F-Rev0-003.pdf"/>
        <s v="FO-903A02-S1P1F-Rev0-004.pdf"/>
        <s v="FO-903A02-S1P1F-Rev0-005.pdf"/>
        <s v="FO-903A03-S1P1F-Rev0-001.pdf"/>
        <s v="FO-903A04-S1P1F-Rev0-001.pdf"/>
        <s v="FO-903A05-S1P1F-Rev0-001.pdf"/>
        <s v="FO-903A06-S1P1F-Rev0-001.pdf"/>
        <s v="FO-903A07-S1P1F-Rev0-001.pdf"/>
        <s v="FO-903A08-S1P1F-Rev0-001.pdf"/>
        <s v="HS-22101-C3S1-Rev0-001.pdf"/>
        <s v="HS-22201-C3S1-Rev0-001.pdf"/>
        <s v="HS-22341-C3S1-Rev0-001.pdf"/>
        <s v="HS-22341-C3S1-Rev0-002.pdf"/>
        <s v="HS-22341-C3S1-Rev0-003.pdf"/>
        <s v="IA-22361-S1P4-Rev0-001.pdf"/>
        <s v="IA-22361-S1P4-Rev0-002.pdf"/>
        <s v="IA-22361-S1P4-Rev0-003.pdf"/>
        <s v="ICW-22101-S1P1-Rev0-001.pdf"/>
        <s v="ICW-22101-S1P1-Rev0-002.pdf"/>
        <s v="ICW-22102-S1P1-Rev0-001.pdf"/>
        <s v="ICW-22102-S1P1-Rev0-002.pdf"/>
        <s v="ICW-22102-S1P1-Rev0-003.pdf"/>
        <s v="ICW-22107-S1P1-Rev0-001.pdf"/>
        <s v="ICW-22108-S1P1-Rev0-001.pdf"/>
        <s v="ICW-22109-S1P1-Rev0-001.pdf"/>
        <s v="ICW-22110-S1P1-Rev0-001.pdf"/>
        <s v="ICW-22201-S1P1-Rev0-001.pdf"/>
        <s v="ICW-22201-S1P1-Rev0-002.pdf"/>
        <s v="ICW-22202-S1P1-Rev0-001.pdf"/>
        <s v="ICW-22202-S1P1-Rev0-002.pdf"/>
        <s v="ICW-22207-S1P1-Rev0-001.pdf"/>
        <s v="ICW-22208-S1P1-Rev0-001.pdf"/>
        <s v="ICW-22352-S1P1-Rev0-001.pdf"/>
        <s v="ICW-22352-S1P1-Rev0-002.pdf"/>
        <s v="ICW-22351-S1P1-Rev0-001.pdf"/>
        <s v="ICW-22351-S1P1-Rev0-002.pdf"/>
        <s v="IW-22371-C1A1-Rev0-001.pdf"/>
        <s v="IW-22371-C1A1-Rev0-002.pdf"/>
        <s v="IW-22371-C1A1-Rev0-003.pdf"/>
        <s v="IW-22372-C1A1-Rev0-001.pdf"/>
        <s v="IW-22373-C1A1-Rev0-001.pdf"/>
        <s v="IW-22374-C1A1-Rev0-001.pdf"/>
        <s v="IW-22375-C1A1-Rev0-001.pdf"/>
        <s v="IW-22376-C1A1-Rev0-001.pdf"/>
        <s v="IW-22377-C1A1-Rev0-001.pdf"/>
        <s v="IW-22378-C1A1-Rev0-001.pdf"/>
        <s v="LC-22101-C3S1-Rev0-001.pdf"/>
        <s v="LC-22102-C1S1-Rev0-001.pdf"/>
        <s v="LC-22102-C1S1-Rev0-002.pdf"/>
        <s v="LC-22201-C3S1-Rev0-001.pdf"/>
        <s v="LC-22202-C1S1-Rev1-001.PDF"/>
        <s v="LC-22202-C1S1-Rev1-002.PDF"/>
        <s v="LC-22341-C1S1-Rev1-001.PDF"/>
        <s v="LC-22341-C1S1-Rev1-002.PDF"/>
        <s v="MC-22341-C3S1-Rev0-001.pdf"/>
        <s v="MC-22342-C3S1-Rev0-001.pdf"/>
        <s v="MC-22342-C3S1-Rev0-002.pdf"/>
        <s v="MS-22101-C3S1-Rev0-001.pdf"/>
        <s v="MS-22101-C3S1-Rev0-002.pdf"/>
        <s v="MS-22101-C3S1-Rev0-003.pdf"/>
        <s v="MS-22101-C3S1-Rev0-004.pdf"/>
        <s v="MS-22101-C3S1-Rev0-005.pdf"/>
        <s v="MS-22101-C3S1-Rev0-006.pdf"/>
        <s v="MS-22201-C3S1-Rev0-001.pdf"/>
        <s v="MS-22201-C3S1-Rev0-002.pdf"/>
        <s v="MS-22201-C3S1-Rev0-003.pdf"/>
        <s v="MS-22201-C3S1-Rev0-004.pdf"/>
        <s v="MS-22341-C3S1-Rev0-001.pdf"/>
        <s v="MS-22341-C3S1-Rev0-002.pdf"/>
        <s v="MS-22341-C3S1-Rev0-003.pdf"/>
        <s v="MS-22341-C3S1-Rev0-004.pdf"/>
        <s v="NI-22101-S1PL-Rev0-001.pdf"/>
        <s v="NI-22101-S1PL-Rev0-002.pdf"/>
        <s v="NI-22311-S1P4-Rev0-001.pdf"/>
        <s v="NI-22311-S1P4-Rev0-002.pdf"/>
        <s v="NI-22361-S1P4-Rev0-001.pdf"/>
        <s v="NI-22361-S1P4-Rev0-002.pdf"/>
        <s v="NI-22362-S1P4-Rev0-001.pdf"/>
        <s v="NI-22362-S1P4-Rev0-002.pdf"/>
        <s v="NI-22362-S1P4-Rev0-003.pdf"/>
        <s v="NI-22364-S1P4-Rev0-001.pdf"/>
        <s v="NI-22365-S1P4-Rev0-001.pdf"/>
        <s v="NI-22366-S1P4-Rev0-001.pdf"/>
        <s v="NI-22367-S1P4-Rev0-001.pdf"/>
        <s v="NI-22368-S1P4-Rev0-001.pdf"/>
        <s v="NI-22369-S1P4-Rev0-001.pdf"/>
        <s v="NI-22370-S1P4-Rev0-001.pdf"/>
        <s v="P-22101-S1PL-Rev0-001.pdf"/>
        <s v="P-22101-S1PL-Rev0-002.pdf"/>
        <s v="P-22101-S1PL-Rev0-003.pdf"/>
        <s v="P-22101-S1PL-Rev0-004.pdf"/>
        <s v="P-22101-S1PL-Rev0-005.pdf"/>
        <s v="P-22101-S1PL-Rev0-006.pdf"/>
        <s v="P-22101-S1PL-Rev0-007.pdf"/>
        <s v="P-22102-S1PL-Rev0-001.pdf"/>
        <s v="P-22103-S1PL-Rev0-001.pdf"/>
        <s v="P-22104-S1PL-Rev0-001.pdf"/>
        <s v="P-22104-S1PL-Rev0-002.pdf"/>
        <s v="P-22105-S1PL-Rev0-001.pdf"/>
        <s v="P-22106-S1PL-Rev0-001.pdf"/>
        <s v="P-22107-S1PL-Rev0-001.pdf"/>
        <s v="P-22107-S1PL-Rev0-002.pdf"/>
        <s v="P-22107-S1PL-Rev0-003.pdf"/>
        <s v="P-22107-S1PL-Rev0-004.pdf"/>
        <s v="P-22107-S1PL-Rev0-005.pdf"/>
        <s v="P-22108-S1PL-Rev0-001.pdf"/>
        <s v="P-22108-S1PL-Rev0-002.pdf"/>
        <s v="P-22109-S1PL-Rev0-001.pdf"/>
        <s v="P-22110-S1PL-Rev0-001.pdf"/>
        <s v="P-22111-S1PL-Rev0-001.pdf"/>
        <s v="P-22111-S1PL-Rev0-002.pdf"/>
        <s v="P-22112-S1P4-Rev0-001.pdf"/>
        <s v="P-22112-S1P4-Rev0-002.pdf"/>
        <s v="P-22113-S1PL-Rev0-001.pdf"/>
        <s v="P-22113-S1PL-Rev0-002.pdf"/>
        <s v="P-22113-S1PL-Rev0-003.pdf"/>
        <s v="P-22114-S1PL-Rev1-001.PDF"/>
        <s v="P-22114-S1PL-Rev1-002.PDF"/>
        <s v="P-22115-S1PL-Rev0-001.pdf"/>
        <s v="P-22115-S1PL-Rev0-002.pdf"/>
        <s v="P-22116-S1PL-Rev0-001.pdf"/>
        <s v="P-22116-S1PL-Rev0-002.pdf"/>
        <s v="P-22116-S1PL-Rev0-003.pdf"/>
        <s v="P-22116-S1PL-Rev0-004.pdf"/>
        <s v="P-22117-S1PL-Rev0-001.pdf"/>
        <s v="P-22118-S1PL-Rev0-001.pdf"/>
        <s v="P-22118-S1PL-Rev0-002.pdf"/>
        <s v="P-22118-S1PL-Rev0-003.pdf"/>
        <s v="P-22119-S1PL-Rev0-001.pdf"/>
        <s v="P-22119-S1PL-Rev0-002.pdf"/>
        <s v="P-22120-S1PL-Rev0-001.pdf"/>
        <s v="P-22121-S1PL-Rev0-001.pdf"/>
        <s v="P-22122-S1PL-Rev0-001.pdf"/>
        <s v="P-22122-S1PL-Rev0-002.pdf"/>
        <s v="P-22122-S1PL-Rev0-003.pdf"/>
        <s v="P-22122-S1PL-Rev0-004.pdf"/>
        <s v="P-22123-S1P4-Rev0-001.pdf"/>
        <s v="P-22123-S1P4-Rev0-002.pdf"/>
        <s v="P-22123-S1P4-Rev0-003.pdf"/>
        <s v="P-22123-S1P4-Rev0-004.pdf"/>
        <s v="P-22124-S1PL-Rev0-001.pdf"/>
        <s v="P-22125-S1PL-Rev0-001.pdf"/>
        <s v="P-22126-S1PL-Rev0-001.pdf"/>
        <s v="P-22126-S1PL-Rev0-002.pdf"/>
        <s v="P-22126-S1PL-Rev0-003.pdf"/>
        <s v="P-22126-S1PL-Rev0-004.pdf"/>
        <s v="P-22126-S1PL-Rev0-005.pdf"/>
        <s v="P-22127-S1PL-Rev0-001.pdf"/>
        <s v="P-22128-S1PL-Rev0-001.pdf"/>
        <s v="P-22128-S1PL-Rev0-002.pdf"/>
        <s v="P-22129-S1PL-Rev0-001.pdf"/>
        <s v="P-22201-S1PL-Rev0-001.pdf"/>
        <s v="P-22202-S1PL-Rev0-001.pdf"/>
        <s v="P-22203-S1PL-Rev0-001.pdf"/>
        <s v="P-22203-S1PL-Rev0-002.pdf"/>
        <s v="P-22204-S1PL-Rev0-001.pdf"/>
        <s v="P-22205-S1PL-Rev0-001.pdf"/>
        <s v="P-22206-S1PL-Rev0-001.pdf"/>
        <s v="P-22206-S1PL-Rev0-002.pdf"/>
        <s v="P-22206-S1PL-Rev0-003.pdf"/>
        <s v="P-22206-S1PL-Rev0-004.pdf"/>
        <s v="P-22207-S1PL-Rev0-001.pdf"/>
        <s v="P-22207-S1PL-Rev0-002.pdf"/>
        <s v="P-22208-S1PL-Rev0-001.pdf"/>
        <s v="P-22209-S1PL-Rev0-001.pdf"/>
        <s v="P-22216-S1PL-Rev0-001.pdf"/>
        <s v="P-22216-S1PL-Rev0-002.pdf"/>
        <s v="P-22216-S1PL-Rev0-003.pdf"/>
        <s v="P-22216-S1PL-Rev0-004.pdf"/>
        <s v="P-22216-S1PL-Rev0-005.pdf"/>
        <s v="P-22216-S1PL-Rev0-006.pdf"/>
        <s v="P-22216-S1PL-Rev0-007.pdf"/>
        <s v="P-22218-S1PL-Rev0-001.pdf"/>
        <s v="P-22230-S1PL-Rev0-001.pdf"/>
        <s v="P-22230-S1PL-Rev0-002.pdf"/>
        <s v="P-22230-S1PL-Rev0-003.pdf"/>
        <s v="P-22230-S1PL-Rev0-004.pdf"/>
        <s v="P-22231-S1PL-Rev0-001.pdf"/>
        <s v="P-22231-S1PL-Rev0-002.pdf"/>
        <s v="P-22233-S1PL-Rev0-001.pdf"/>
        <s v="P-22233-S1PL-Rev0-002.pdf"/>
        <s v="P-22234-S1PL-Rev0-001.pdf"/>
        <s v="P-22235-S1P1-Rev0-001.pdf"/>
        <s v="PA-22361-C1A2-Rev0-001.pdf"/>
        <s v="PA-22361-C1A2-Rev0-002.pdf"/>
        <s v="PA-22362-C1A2-Rev0-001.pdf"/>
        <s v="PA-22363-C1A2-Rev0-001.pdf"/>
        <s v="PA-22364-C1A2-Rev0-001.pdf"/>
        <s v="PA-22365-C1A2-Rev0-001.pdf"/>
        <s v="PA-22366-C1A2-Rev0-001.pdf"/>
        <s v="PA-22367-C1A2-Rev0-001.pdf"/>
        <s v="PA-22368-C1A2-Rev0-001.pdf"/>
        <s v="PW2-22101-S1P4-Rev0-001.pdf"/>
        <s v="PW2-22371-S1P4-Rev0-001.pdf"/>
        <s v="PW2-22371-S1P4-Rev0-002.pdf"/>
        <s v="PW2-22371-S1P4-Rev0-003.pdf"/>
        <s v="PW2-22372-S1P4-Rev0-001.pdf"/>
        <s v="PW2-22373-S1P4-Rev0-001.pdf"/>
        <s v="PW2-22374-S1P4-Rev0-001.pdf"/>
        <s v="PW2-22375-S1P4-Rev0-001.pdf"/>
        <s v="PW2-22376-S1P4-Rev0-001.pdf"/>
        <s v="PW2-22377-S1P4-Rev0-001.pdf"/>
        <s v="PW2-22378-S1P4-Rev0-001.pdf"/>
        <s v="RH-22101-C1P1-Rev0-001.pdf"/>
        <s v="RH-22101-C1P1-Rev0-002.pdf"/>
        <s v="RH-22102-C1P1-Rev0-001.pdf"/>
        <s v="RH-22201-C1P1-Rev0-001.pdf"/>
        <s v="RH-22201-C1P1-Rev0-002.pdf"/>
        <s v="RH-22202-C1P1-Rev0-001.pdf"/>
        <s v="SW-22371-S1P1-Rev0-001.pdf"/>
        <s v="SW-22371-S1P1-Rev0-002.pdf"/>
        <s v="SW-22372-S1P1-Rev0-001.pdf"/>
        <s v="SW-22373-S1P1-Rev0-001.pdf"/>
        <s v="SW-22374-S1P1-Rev0-001.pdf"/>
        <s v="SW-22375-S1P1-Rev0-001.pdf"/>
        <s v="SW-22376-S1P1-Rev0-001.pdf"/>
        <s v="SW-22377-S1P1-Rev0-001.pdf"/>
        <s v="TRIM-D2210-N8-S1PL-Rev0-001.pdf"/>
        <s v="TRIM-D2210-N35-S1PL-Rev0-001.pdf"/>
        <s v="TRIM-D2210-N45AB-S1PL-Rev0-001.pdf"/>
        <s v="TRIM-D2210-N47AB-S1PL-Rev0-001.pdf"/>
        <s v="TRIM-D2210-N47AB-S1PL-Rev0-002.pdf"/>
        <s v="TRIM-E2210-S3-C3S1-Rev0-001.pdf"/>
        <s v="TRIM-E2210-S4-C3S1-Rev0-001.pdf"/>
        <s v="TRIM-E2211-T3-C1P1-Rev0-001.pdf"/>
        <s v="TRIM-E2211-T4-S1P1-Rev0-001.pdf"/>
        <s v="TRIM-E2212-S3-S1P1-Rev0-001.pdf"/>
        <s v="TRIM-E2212-S4-S1P1-Rev0-001.pdf"/>
        <s v="TRIM-E2212-T4-S1PL-Rev0-001.pdf"/>
        <s v="TRIM-E2213-T3-S1P1-Rev0-001.pdf"/>
        <s v="TRIM-E2213-T4-S1P1-Rev0-001.pdf"/>
        <s v="TRIM-E2214-T3-S1P1-Rev0-001.pdf"/>
        <s v="TRIM-E2214-T4-S1P1-Rev0-001.pdf"/>
        <s v="TRIM-E2220-S3-C3S1-Rev0-001.pdf"/>
        <s v="TRIM-E2220-S4-C3S1-Rev0-001.pdf"/>
        <s v="TRIM-E2222-S3-S1P1-Rev0-001.pdf"/>
        <s v="TRIM-E2222-S4-S1P1-Rev0-001.pdf"/>
        <s v="TRIM-E2224-T3-S1P1-Rev0-001.pdf"/>
        <s v="TRIM-E2224-T4-S1P1-Rev0-001.pdf"/>
        <s v="TRIM-ES151-N2-S1P1-Rev0-001.pdf"/>
        <s v="TRIM-STR22101A-D-S1PL-Rev0-001.pdf"/>
        <s v="TRIM-STR22101A-V-S1PL-Rev0-001.pdf"/>
        <s v="TRIM-STR22101B-D-S1PL-Rev0-001.pdf"/>
        <s v="TRIM-STR22101B-V-S1PL-Rev0-001.pdf"/>
        <s v="TRIM-STR22111A-D-S1PL-Rev0-001.pdf"/>
        <s v="TRIM-STR22111A-V-S1PL-Rev0-001.pdf"/>
        <s v="TRIM-STR22111B-D-S1PL-Rev0-001.pdf"/>
        <s v="TRIM-STR22111B-V-S1PL-Rev0-001.pdf"/>
        <s v="TRIM-STR22201A-D-S1PL-Rev0-001.pdf"/>
        <s v="TRIM-STR22201A-V-S1PL-Rev0-001.pdf"/>
        <s v="TRIM-STR22201B-D-S1PL-Rev0-001.pdf"/>
        <s v="TRIM-STR22201B-V-S1PL-Rev0-001.pdf"/>
        <s v="TRIM-T2210-N47AB-S1PL-Rev1-001.PDF"/>
        <s v="TRIM-T2210-N47AB-S1PL-Rev1-002.PDF"/>
        <s v="TRIM-T2220-N35-S1PL-Rev0-001.pdf"/>
        <s v="TRIM-T2220-N38-S1PL-Rev0-001.pdf"/>
        <s v="TRIM-T2220-N47AB-S1PL-Rev0-001.pdf"/>
        <s v="TRIM-T2220-N47AB-S1PL-Rev0-002.pdf"/>
        <s v="WW-22101-S1P4-Rev0-001.pdf"/>
        <s v="WW-22101-S1P4-Rev0-002.pdf"/>
        <s v="WW-22201-S1P4-Rev0-001.pdf"/>
        <s v="WW-22202-S1P4-Rev0-001.pdf"/>
        <s v="WW-22202-S1P4-Rev0-002.pdf"/>
        <s v="WW-22371-S1P4-Rev0-001.pdf"/>
        <s v="WW-22371-S1P4-Rev0-002.pdf"/>
        <s v="WW-22371-S1P4-Rev0-003.pdf"/>
        <s v="WW-22371-S1P4-Rev0-004.pdf"/>
        <s v="WW-22371-S1P4-Rev0-005.pdf"/>
      </sharedItems>
    </cacheField>
    <cacheField name="LINE NO." numFmtId="0">
      <sharedItems count="182">
        <s v="CW-22101"/>
        <s v="CW-22102"/>
        <s v="CW-22103"/>
        <s v="CW-22104"/>
        <s v="CW-22105"/>
        <s v="CW-22106"/>
        <s v="CW-22201"/>
        <s v="CW-22202"/>
        <s v="CW-22203"/>
        <s v="CW-22204"/>
        <s v="CW-22205"/>
        <s v="CW-22206"/>
        <s v="CW-22351"/>
        <s v="CW-22352"/>
        <s v="FO-903A01"/>
        <s v="FO-903A02"/>
        <s v="FO-903A03"/>
        <s v="FO-903A04"/>
        <s v="FO-903A05"/>
        <s v="FO-903A06"/>
        <s v="FO-903A07"/>
        <s v="FO-903A08"/>
        <s v="HS-22101"/>
        <s v="HS-22201"/>
        <s v="HS-22341"/>
        <s v="IA-22361"/>
        <s v="ICW-22101"/>
        <s v="ICW-22102"/>
        <s v="ICW-22107"/>
        <s v="ICW-22108"/>
        <s v="ICW-22109"/>
        <s v="ICW-22110"/>
        <s v="ICW-22201"/>
        <s v="ICW-22202"/>
        <s v="ICW-22207"/>
        <s v="ICW-22208"/>
        <s v="ICW-22352"/>
        <s v="ICW-22351"/>
        <s v="IW-22371"/>
        <s v="IW-22372"/>
        <s v="IW-22373"/>
        <s v="IW-22374"/>
        <s v="IW-22375"/>
        <s v="IW-22376"/>
        <s v="IW-22377"/>
        <s v="IW-22378"/>
        <s v="LC-22101"/>
        <s v="LC-22102"/>
        <s v="LC-22201"/>
        <s v="LC-22202"/>
        <s v="LC-22341"/>
        <s v="MC-22341"/>
        <s v="MC-22342"/>
        <s v="MS-22101"/>
        <s v="MS-22201"/>
        <s v="MS-22341"/>
        <s v="NI-22101"/>
        <s v="NI-22311"/>
        <s v="NI-22361"/>
        <s v="NI-22362"/>
        <s v="NI-22364"/>
        <s v="NI-22365"/>
        <s v="NI-22366"/>
        <s v="NI-22367"/>
        <s v="NI-22368"/>
        <s v="NI-22369"/>
        <s v="NI-22370"/>
        <s v="P-22101"/>
        <s v="P-22102"/>
        <s v="P-22103"/>
        <s v="P-22104"/>
        <s v="P-22105"/>
        <s v="P-22106"/>
        <s v="P-22107"/>
        <s v="P-22108"/>
        <s v="P-22109"/>
        <s v="P-22110"/>
        <s v="P-22111"/>
        <s v="P-22112"/>
        <s v="P-22113"/>
        <s v="P-22114"/>
        <s v="P-22115"/>
        <s v="P-22116"/>
        <s v="P-22117"/>
        <s v="P-22118"/>
        <s v="P-22119"/>
        <s v="P-22120"/>
        <s v="P-22121"/>
        <s v="P-22122"/>
        <s v="P-22123"/>
        <s v="P-22124"/>
        <s v="P-22125"/>
        <s v="P-22126"/>
        <s v="P-22127"/>
        <s v="P-22128"/>
        <s v="P-22129"/>
        <s v="P-22201"/>
        <s v="P-22202"/>
        <s v="P-22203"/>
        <s v="P-22204"/>
        <s v="P-22205"/>
        <s v="P-22206"/>
        <s v="P-22207"/>
        <s v="P-22208"/>
        <s v="P-22209"/>
        <s v="P-22216"/>
        <s v="P-22218"/>
        <s v="P-22230"/>
        <s v="P-22231"/>
        <s v="P-22233"/>
        <s v="P-22234"/>
        <s v="P-22235"/>
        <s v="PA-22361"/>
        <s v="PA-22362"/>
        <s v="PA-22363"/>
        <s v="PA-22364"/>
        <s v="PA-22365"/>
        <s v="PA-22366"/>
        <s v="PA-22367"/>
        <s v="PA-22368"/>
        <s v="PW2-22101"/>
        <s v="PW2-22371"/>
        <s v="PW2-22372"/>
        <s v="PW2-22373"/>
        <s v="PW2-22374"/>
        <s v="PW2-22375"/>
        <s v="PW2-22376"/>
        <s v="PW2-22377"/>
        <s v="PW2-22378"/>
        <s v="RH-22101"/>
        <s v="RH-22102"/>
        <s v="RH-22201"/>
        <s v="RH-22202"/>
        <s v="SW-22371"/>
        <s v="SW-22372"/>
        <s v="SW-22373"/>
        <s v="SW-22374"/>
        <s v="SW-22375"/>
        <s v="SW-22376"/>
        <s v="SW-22377"/>
        <s v="TRIM-D2210-N8"/>
        <s v="TRIM-D2210-N35"/>
        <s v="TRIM-D2210-N45AB"/>
        <s v="TRIM-D2210-N47AB"/>
        <s v="TRIM-E2210-S3"/>
        <s v="TRIM-E2210-S4"/>
        <s v="TRIM-E2211-T3"/>
        <s v="TRIM-E2211-T4"/>
        <s v="TRIM-E2212-S3"/>
        <s v="TRIM-E2212-S4"/>
        <s v="TRIM-E2212-T4"/>
        <s v="TRIM-E2213-T3"/>
        <s v="TRIM-E2213-T4"/>
        <s v="TRIM-E2214-T3"/>
        <s v="TRIM-E2214-T4"/>
        <s v="TRIM-E2220-S3"/>
        <s v="TRIM-E2220-S4"/>
        <s v="TRIM-E2222-S3"/>
        <s v="TRIM-E2222-S4"/>
        <s v="TRIM-E2224-T3"/>
        <s v="TRIM-E2224-T4"/>
        <s v="TRIM-ES151-N2"/>
        <s v="TRIM-STR22101A-D"/>
        <s v="TRIM-STR22101A-V"/>
        <s v="TRIM-STR22101B-D"/>
        <s v="TRIM-STR22101B-V"/>
        <s v="TRIM-STR22111A-D"/>
        <s v="TRIM-STR22111A-V"/>
        <s v="TRIM-STR22111B-D"/>
        <s v="TRIM-STR22111B-V"/>
        <s v="TRIM-STR22201A-D"/>
        <s v="TRIM-STR22201A-V"/>
        <s v="TRIM-STR22201B-D"/>
        <s v="TRIM-STR22201B-V"/>
        <s v="TRIM-T2210-N47AB"/>
        <s v="TRIM-T2220-N35"/>
        <s v="TRIM-T2220-N38"/>
        <s v="TRIM-T2220-N47AB"/>
        <s v="WW-22101"/>
        <s v="WW-22201"/>
        <s v="WW-22202"/>
        <s v="WW-22371"/>
      </sharedItems>
    </cacheField>
    <cacheField name="Revision" numFmtId="0">
      <sharedItems count="2">
        <s v="0"/>
        <s v="1"/>
      </sharedItems>
    </cacheField>
    <cacheField name="SheetIndex" numFmtId="0">
      <sharedItems containsSemiMixedTypes="0" containsString="0" containsNumber="1" containsInteger="1" minValue="1" maxValue="7"/>
    </cacheField>
    <cacheField name="NumSheets" numFmtId="0">
      <sharedItems containsSemiMixedTypes="0" containsString="0" containsNumber="1" containsInteger="1" minValue="1" maxValue="7"/>
    </cacheField>
    <cacheField name="chk.NumSheets" numFmtId="0">
      <sharedItems/>
    </cacheField>
    <cacheField name="file_basename" numFmtId="0">
      <sharedItems count="312">
        <s v="CW-22101-S1P1-Rev0-001"/>
        <s v="CW-22101-S1P1-Rev0-002"/>
        <s v="CW-22101-S1P1-Rev0-003"/>
        <s v="CW-22102-S1P1-Rev0-001"/>
        <s v="CW-22102-S1P1-Rev0-002"/>
        <s v="CW-22102-S1P1-Rev0-003"/>
        <s v="CW-22103-S1P1-Rev0-001"/>
        <s v="CW-22103-S1P1-Rev0-002"/>
        <s v="CW-22104-S1P1-Rev0-001"/>
        <s v="CW-22104-S1P1-Rev0-002"/>
        <s v="CW-22104-S1P1-Rev0-003"/>
        <s v="CW-22105-S1P1-Rev0-001"/>
        <s v="CW-22105-S1P1-Rev0-002"/>
        <s v="CW-22106-S1P1-Rev0-001"/>
        <s v="CW-22106-S1P1-Rev0-002"/>
        <s v="CW-22106-S1P1-Rev0-003"/>
        <s v="CW-22201-S1P1-Rev0-001"/>
        <s v="CW-22201-S1P1-Rev0-002"/>
        <s v="CW-22201-S1P1-Rev0-003"/>
        <s v="CW-22202-S1P1-Rev0-001"/>
        <s v="CW-22202-S1P1-Rev0-002"/>
        <s v="CW-22202-S1P1-Rev0-003"/>
        <s v="CW-22203-S1P1-Rev0-001"/>
        <s v="CW-22203-S1P1-Rev0-002"/>
        <s v="CW-22204-S1P1-Rev0-001"/>
        <s v="CW-22204-S1P1-Rev0-002"/>
        <s v="CW-22204-S1P1-Rev0-003"/>
        <s v="CW-22204-S1P1-Rev0-004"/>
        <s v="CW-22205-S1P1-Rev0-001"/>
        <s v="CW-22205-S1P1-Rev0-002"/>
        <s v="CW-22206-S1P1-R-Rev0-001"/>
        <s v="CW-22206-S1P1-R-Rev0-002"/>
        <s v="CW-22206-S1P1-R-Rev0-003"/>
        <s v="CW-22351-S1P1-Rev0-001"/>
        <s v="CW-22351-S1P1-Rev0-002"/>
        <s v="CW-22352-S1P1-Rev0-001"/>
        <s v="CW-22352-S1P1-Rev0-002"/>
        <s v="FO-903A01-S1P1F-Rev0-001"/>
        <s v="FO-903A01-S1P1F-Rev0-002"/>
        <s v="FO-903A01-S1P1F-Rev0-003"/>
        <s v="FO-903A01-S1P1F-Rev0-004"/>
        <s v="FO-903A01-S1P1F-Rev0-005"/>
        <s v="FO-903A02-S1P1F-Rev0-001"/>
        <s v="FO-903A02-S1P1F-Rev0-002"/>
        <s v="FO-903A02-S1P1F-Rev0-003"/>
        <s v="FO-903A02-S1P1F-Rev0-004"/>
        <s v="FO-903A02-S1P1F-Rev0-005"/>
        <s v="FO-903A03-S1P1F-Rev0-001"/>
        <s v="FO-903A04-S1P1F-Rev0-001"/>
        <s v="FO-903A05-S1P1F-Rev0-001"/>
        <s v="FO-903A06-S1P1F-Rev0-001"/>
        <s v="FO-903A07-S1P1F-Rev0-001"/>
        <s v="FO-903A08-S1P1F-Rev0-001"/>
        <s v="HS-22101-C3S1-Rev0-001"/>
        <s v="HS-22201-C3S1-Rev0-001"/>
        <s v="HS-22341-C3S1-Rev0-001"/>
        <s v="HS-22341-C3S1-Rev0-002"/>
        <s v="HS-22341-C3S1-Rev0-003"/>
        <s v="IA-22361-S1P4-Rev0-001"/>
        <s v="IA-22361-S1P4-Rev0-002"/>
        <s v="IA-22361-S1P4-Rev0-003"/>
        <s v="ICW-22101-S1P1-Rev0-001"/>
        <s v="ICW-22101-S1P1-Rev0-002"/>
        <s v="ICW-22102-S1P1-Rev0-001"/>
        <s v="ICW-22102-S1P1-Rev0-002"/>
        <s v="ICW-22102-S1P1-Rev0-003"/>
        <s v="ICW-22107-S1P1-Rev0-001"/>
        <s v="ICW-22108-S1P1-Rev0-001"/>
        <s v="ICW-22109-S1P1-Rev0-001"/>
        <s v="ICW-22110-S1P1-Rev0-001"/>
        <s v="ICW-22201-S1P1-Rev0-001"/>
        <s v="ICW-22201-S1P1-Rev0-002"/>
        <s v="ICW-22202-S1P1-Rev0-001"/>
        <s v="ICW-22202-S1P1-Rev0-002"/>
        <s v="ICW-22207-S1P1-Rev0-001"/>
        <s v="ICW-22208-S1P1-Rev0-001"/>
        <s v="ICW-22352-S1P1-Rev0-001"/>
        <s v="ICW-22352-S1P1-Rev0-002"/>
        <s v="ICW-22351-S1P1-Rev0-001"/>
        <s v="ICW-22351-S1P1-Rev0-002"/>
        <s v="IW-22371-C1A1-Rev0-001"/>
        <s v="IW-22371-C1A1-Rev0-002"/>
        <s v="IW-22371-C1A1-Rev0-003"/>
        <s v="IW-22372-C1A1-Rev0-001"/>
        <s v="IW-22373-C1A1-Rev0-001"/>
        <s v="IW-22374-C1A1-Rev0-001"/>
        <s v="IW-22375-C1A1-Rev0-001"/>
        <s v="IW-22376-C1A1-Rev0-001"/>
        <s v="IW-22377-C1A1-Rev0-001"/>
        <s v="IW-22378-C1A1-Rev0-001"/>
        <s v="LC-22101-C3S1-Rev0-001"/>
        <s v="LC-22102-C1S1-Rev0-001"/>
        <s v="LC-22102-C1S1-Rev0-002"/>
        <s v="LC-22201-C3S1-Rev0-001"/>
        <s v="LC-22202-C1S1-Rev1-001"/>
        <s v="LC-22202-C1S1-Rev1-002"/>
        <s v="LC-22341-C1S1-Rev1-001"/>
        <s v="LC-22341-C1S1-Rev1-002"/>
        <s v="MC-22341-C3S1-Rev0-001"/>
        <s v="MC-22342-C3S1-Rev0-001"/>
        <s v="MC-22342-C3S1-Rev0-002"/>
        <s v="MS-22101-C3S1-Rev0-001"/>
        <s v="MS-22101-C3S1-Rev0-002"/>
        <s v="MS-22101-C3S1-Rev0-003"/>
        <s v="MS-22101-C3S1-Rev0-004"/>
        <s v="MS-22101-C3S1-Rev0-005"/>
        <s v="MS-22101-C3S1-Rev0-006"/>
        <s v="MS-22201-C3S1-Rev0-001"/>
        <s v="MS-22201-C3S1-Rev0-002"/>
        <s v="MS-22201-C3S1-Rev0-003"/>
        <s v="MS-22201-C3S1-Rev0-004"/>
        <s v="MS-22341-C3S1-Rev0-001"/>
        <s v="MS-22341-C3S1-Rev0-002"/>
        <s v="MS-22341-C3S1-Rev0-003"/>
        <s v="MS-22341-C3S1-Rev0-004"/>
        <s v="NI-22101-S1PL-Rev0-001"/>
        <s v="NI-22101-S1PL-Rev0-002"/>
        <s v="NI-22311-S1P4-Rev0-001"/>
        <s v="NI-22311-S1P4-Rev0-002"/>
        <s v="NI-22361-S1P4-Rev0-001"/>
        <s v="NI-22361-S1P4-Rev0-002"/>
        <s v="NI-22362-S1P4-Rev0-001"/>
        <s v="NI-22362-S1P4-Rev0-002"/>
        <s v="NI-22362-S1P4-Rev0-003"/>
        <s v="NI-22364-S1P4-Rev0-001"/>
        <s v="NI-22365-S1P4-Rev0-001"/>
        <s v="NI-22366-S1P4-Rev0-001"/>
        <s v="NI-22367-S1P4-Rev0-001"/>
        <s v="NI-22368-S1P4-Rev0-001"/>
        <s v="NI-22369-S1P4-Rev0-001"/>
        <s v="NI-22370-S1P4-Rev0-001"/>
        <s v="P-22101-S1PL-Rev0-001"/>
        <s v="P-22101-S1PL-Rev0-002"/>
        <s v="P-22101-S1PL-Rev0-003"/>
        <s v="P-22101-S1PL-Rev0-004"/>
        <s v="P-22101-S1PL-Rev0-005"/>
        <s v="P-22101-S1PL-Rev0-006"/>
        <s v="P-22101-S1PL-Rev0-007"/>
        <s v="P-22102-S1PL-Rev0-001"/>
        <s v="P-22103-S1PL-Rev0-001"/>
        <s v="P-22104-S1PL-Rev0-001"/>
        <s v="P-22104-S1PL-Rev0-002"/>
        <s v="P-22105-S1PL-Rev0-001"/>
        <s v="P-22106-S1PL-Rev0-001"/>
        <s v="P-22107-S1PL-Rev0-001"/>
        <s v="P-22107-S1PL-Rev0-002"/>
        <s v="P-22107-S1PL-Rev0-003"/>
        <s v="P-22107-S1PL-Rev0-004"/>
        <s v="P-22107-S1PL-Rev0-005"/>
        <s v="P-22108-S1PL-Rev0-001"/>
        <s v="P-22108-S1PL-Rev0-002"/>
        <s v="P-22109-S1PL-Rev0-001"/>
        <s v="P-22110-S1PL-Rev0-001"/>
        <s v="P-22111-S1PL-Rev0-001"/>
        <s v="P-22111-S1PL-Rev0-002"/>
        <s v="P-22112-S1P4-Rev0-001"/>
        <s v="P-22112-S1P4-Rev0-002"/>
        <s v="P-22113-S1PL-Rev0-001"/>
        <s v="P-22113-S1PL-Rev0-002"/>
        <s v="P-22113-S1PL-Rev0-003"/>
        <s v="P-22114-S1PL-Rev1-001"/>
        <s v="P-22114-S1PL-Rev1-002"/>
        <s v="P-22115-S1PL-Rev0-001"/>
        <s v="P-22115-S1PL-Rev0-002"/>
        <s v="P-22116-S1PL-Rev0-001"/>
        <s v="P-22116-S1PL-Rev0-002"/>
        <s v="P-22116-S1PL-Rev0-003"/>
        <s v="P-22116-S1PL-Rev0-004"/>
        <s v="P-22117-S1PL-Rev0-001"/>
        <s v="P-22118-S1PL-Rev0-001"/>
        <s v="P-22118-S1PL-Rev0-002"/>
        <s v="P-22118-S1PL-Rev0-003"/>
        <s v="P-22119-S1PL-Rev0-001"/>
        <s v="P-22119-S1PL-Rev0-002"/>
        <s v="P-22120-S1PL-Rev0-001"/>
        <s v="P-22121-S1PL-Rev0-001"/>
        <s v="P-22122-S1PL-Rev0-001"/>
        <s v="P-22122-S1PL-Rev0-002"/>
        <s v="P-22122-S1PL-Rev0-003"/>
        <s v="P-22122-S1PL-Rev0-004"/>
        <s v="P-22123-S1P4-Rev0-001"/>
        <s v="P-22123-S1P4-Rev0-002"/>
        <s v="P-22123-S1P4-Rev0-003"/>
        <s v="P-22123-S1P4-Rev0-004"/>
        <s v="P-22124-S1PL-Rev0-001"/>
        <s v="P-22125-S1PL-Rev0-001"/>
        <s v="P-22126-S1PL-Rev0-001"/>
        <s v="P-22126-S1PL-Rev0-002"/>
        <s v="P-22126-S1PL-Rev0-003"/>
        <s v="P-22126-S1PL-Rev0-004"/>
        <s v="P-22126-S1PL-Rev0-005"/>
        <s v="P-22127-S1PL-Rev0-001"/>
        <s v="P-22128-S1PL-Rev0-001"/>
        <s v="P-22128-S1PL-Rev0-002"/>
        <s v="P-22129-S1PL-Rev0-001"/>
        <s v="P-22201-S1PL-Rev0-001"/>
        <s v="P-22202-S1PL-Rev0-001"/>
        <s v="P-22203-S1PL-Rev0-001"/>
        <s v="P-22203-S1PL-Rev0-002"/>
        <s v="P-22204-S1PL-Rev0-001"/>
        <s v="P-22205-S1PL-Rev0-001"/>
        <s v="P-22206-S1PL-Rev0-001"/>
        <s v="P-22206-S1PL-Rev0-002"/>
        <s v="P-22206-S1PL-Rev0-003"/>
        <s v="P-22206-S1PL-Rev0-004"/>
        <s v="P-22207-S1PL-Rev0-001"/>
        <s v="P-22207-S1PL-Rev0-002"/>
        <s v="P-22208-S1PL-Rev0-001"/>
        <s v="P-22209-S1PL-Rev0-001"/>
        <s v="P-22216-S1PL-Rev0-001"/>
        <s v="P-22216-S1PL-Rev0-002"/>
        <s v="P-22216-S1PL-Rev0-003"/>
        <s v="P-22216-S1PL-Rev0-004"/>
        <s v="P-22216-S1PL-Rev0-005"/>
        <s v="P-22216-S1PL-Rev0-006"/>
        <s v="P-22216-S1PL-Rev0-007"/>
        <s v="P-22218-S1PL-Rev0-001"/>
        <s v="P-22230-S1PL-Rev0-001"/>
        <s v="P-22230-S1PL-Rev0-002"/>
        <s v="P-22230-S1PL-Rev0-003"/>
        <s v="P-22230-S1PL-Rev0-004"/>
        <s v="P-22231-S1PL-Rev0-001"/>
        <s v="P-22231-S1PL-Rev0-002"/>
        <s v="P-22233-S1PL-Rev0-001"/>
        <s v="P-22233-S1PL-Rev0-002"/>
        <s v="P-22234-S1PL-Rev0-001"/>
        <s v="P-22235-S1P1-Rev0-001"/>
        <s v="PA-22361-C1A2-Rev0-001"/>
        <s v="PA-22361-C1A2-Rev0-002"/>
        <s v="PA-22362-C1A2-Rev0-001"/>
        <s v="PA-22363-C1A2-Rev0-001"/>
        <s v="PA-22364-C1A2-Rev0-001"/>
        <s v="PA-22365-C1A2-Rev0-001"/>
        <s v="PA-22366-C1A2-Rev0-001"/>
        <s v="PA-22367-C1A2-Rev0-001"/>
        <s v="PA-22368-C1A2-Rev0-001"/>
        <s v="PW2-22101-S1P4-Rev0-001"/>
        <s v="PW2-22371-S1P4-Rev0-001"/>
        <s v="PW2-22371-S1P4-Rev0-002"/>
        <s v="PW2-22371-S1P4-Rev0-003"/>
        <s v="PW2-22372-S1P4-Rev0-001"/>
        <s v="PW2-22373-S1P4-Rev0-001"/>
        <s v="PW2-22374-S1P4-Rev0-001"/>
        <s v="PW2-22375-S1P4-Rev0-001"/>
        <s v="PW2-22376-S1P4-Rev0-001"/>
        <s v="PW2-22377-S1P4-Rev0-001"/>
        <s v="PW2-22378-S1P4-Rev0-001"/>
        <s v="RH-22101-C1P1-Rev0-001"/>
        <s v="RH-22101-C1P1-Rev0-002"/>
        <s v="RH-22102-C1P1-Rev0-001"/>
        <s v="RH-22201-C1P1-Rev0-001"/>
        <s v="RH-22201-C1P1-Rev0-002"/>
        <s v="RH-22202-C1P1-Rev0-001"/>
        <s v="SW-22371-S1P1-Rev0-001"/>
        <s v="SW-22371-S1P1-Rev0-002"/>
        <s v="SW-22372-S1P1-Rev0-001"/>
        <s v="SW-22373-S1P1-Rev0-001"/>
        <s v="SW-22374-S1P1-Rev0-001"/>
        <s v="SW-22375-S1P1-Rev0-001"/>
        <s v="SW-22376-S1P1-Rev0-001"/>
        <s v="SW-22377-S1P1-Rev0-001"/>
        <s v="TRIM-D2210-N8-S1PL-Rev0-001"/>
        <s v="TRIM-D2210-N35-S1PL-Rev0-001"/>
        <s v="TRIM-D2210-N45AB-S1PL-Rev0-001"/>
        <s v="TRIM-D2210-N47AB-S1PL-Rev0-001"/>
        <s v="TRIM-D2210-N47AB-S1PL-Rev0-002"/>
        <s v="TRIM-E2210-S3-C3S1-Rev0-001"/>
        <s v="TRIM-E2210-S4-C3S1-Rev0-001"/>
        <s v="TRIM-E2211-T3-C1P1-Rev0-001"/>
        <s v="TRIM-E2211-T4-S1P1-Rev0-001"/>
        <s v="TRIM-E2212-S3-S1P1-Rev0-001"/>
        <s v="TRIM-E2212-S4-S1P1-Rev0-001"/>
        <s v="TRIM-E2212-T4-S1PL-Rev0-001"/>
        <s v="TRIM-E2213-T3-S1P1-Rev0-001"/>
        <s v="TRIM-E2213-T4-S1P1-Rev0-001"/>
        <s v="TRIM-E2214-T3-S1P1-Rev0-001"/>
        <s v="TRIM-E2214-T4-S1P1-Rev0-001"/>
        <s v="TRIM-E2220-S3-C3S1-Rev0-001"/>
        <s v="TRIM-E2220-S4-C3S1-Rev0-001"/>
        <s v="TRIM-E2222-S3-S1P1-Rev0-001"/>
        <s v="TRIM-E2222-S4-S1P1-Rev0-001"/>
        <s v="TRIM-E2224-T3-S1P1-Rev0-001"/>
        <s v="TRIM-E2224-T4-S1P1-Rev0-001"/>
        <s v="TRIM-ES151-N2-S1P1-Rev0-001"/>
        <s v="TRIM-STR22101A-D-S1PL-Rev0-001"/>
        <s v="TRIM-STR22101A-V-S1PL-Rev0-001"/>
        <s v="TRIM-STR22101B-D-S1PL-Rev0-001"/>
        <s v="TRIM-STR22101B-V-S1PL-Rev0-001"/>
        <s v="TRIM-STR22111A-D-S1PL-Rev0-001"/>
        <s v="TRIM-STR22111A-V-S1PL-Rev0-001"/>
        <s v="TRIM-STR22111B-D-S1PL-Rev0-001"/>
        <s v="TRIM-STR22111B-V-S1PL-Rev0-001"/>
        <s v="TRIM-STR22201A-D-S1PL-Rev0-001"/>
        <s v="TRIM-STR22201A-V-S1PL-Rev0-001"/>
        <s v="TRIM-STR22201B-D-S1PL-Rev0-001"/>
        <s v="TRIM-STR22201B-V-S1PL-Rev0-001"/>
        <s v="TRIM-T2210-N47AB-S1PL-Rev1-001"/>
        <s v="TRIM-T2210-N47AB-S1PL-Rev1-002"/>
        <s v="TRIM-T2220-N35-S1PL-Rev0-001"/>
        <s v="TRIM-T2220-N38-S1PL-Rev0-001"/>
        <s v="TRIM-T2220-N47AB-S1PL-Rev0-001"/>
        <s v="TRIM-T2220-N47AB-S1PL-Rev0-002"/>
        <s v="WW-22101-S1P4-Rev0-001"/>
        <s v="WW-22101-S1P4-Rev0-002"/>
        <s v="WW-22201-S1P4-Rev0-001"/>
        <s v="WW-22202-S1P4-Rev0-001"/>
        <s v="WW-22202-S1P4-Rev0-002"/>
        <s v="WW-22371-S1P4-Rev0-001"/>
        <s v="WW-22371-S1P4-Rev0-002"/>
        <s v="WW-22371-S1P4-Rev0-003"/>
        <s v="WW-22371-S1P4-Rev0-004"/>
        <s v="WW-22371-S1P4-Rev0-005"/>
      </sharedItems>
    </cacheField>
    <cacheField name="chk.rev" numFmtId="0">
      <sharedItems/>
    </cacheField>
    <cacheField name="流水號" numFmtId="0">
      <sharedItems containsSemiMixedTypes="0" containsString="0" containsNumber="1" containsInteger="1" minValue="1" maxValue="312" count="31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</sharedItems>
    </cacheField>
    <cacheField name="管線編號" numFmtId="0">
      <sharedItems count="182">
        <s v="CW-22101-2&quot;-S1P1"/>
        <s v="CW-22102-2&quot;-S1P1"/>
        <s v="CW-22103-1&quot;-S1P1"/>
        <s v="CW-22104-1&quot;-S1P1"/>
        <s v="CW-22105-4&quot;-S1P1"/>
        <s v="CW-22106-4&quot;-S1P1"/>
        <s v="CW-22201-3&quot;-S1P1"/>
        <s v="CW-22202-3&quot;-S1P1"/>
        <s v="CW-22203-2&quot;-S1P1"/>
        <s v="CW-22204-2&quot;-S1P1"/>
        <s v="CW-22205-6&quot;-S1P1"/>
        <s v="CW-22206-6&quot;-S1P1"/>
        <s v="CW-22351-8&quot;-S1P1"/>
        <s v="CW-22352-8&quot;-S1P1"/>
        <s v="FO-903A01-2&quot;-S1P1F"/>
        <s v="FO-903A02-1/2&quot;-S1P1F"/>
        <s v="FO-903A03-1.1/2&quot;-S1P1F"/>
        <s v="FO-903A04-2&quot;-S1P1F"/>
        <s v="FO-903A05-1&quot;-S1P1F"/>
        <s v="FO-903A06-1/2&quot;-S1P1F"/>
        <s v="FO-903A07-1/2&quot;-S1P1F"/>
        <s v="FO-903A08-1&quot;-S1P1F"/>
        <s v="HS-22101-1&quot;-C3S1-HC2"/>
        <s v="HS-22201-2&quot;-C3S1-HC2"/>
        <s v="HS-22341-4&quot;-C3S1-HC2"/>
        <s v="IA-22361-1.1/2&quot;-S1P4"/>
        <s v="ICW-22101-2&quot;-S1P1-C40"/>
        <s v="ICW-22102-2&quot;-S1P1-C40"/>
        <s v="ICW-22107-1&quot;-S1P1-C40"/>
        <s v="ICW-22108-1&quot;-S1P1-C40"/>
        <s v="ICW-22109-1&quot;-S1P1-C40"/>
        <s v="ICW-22110-1&quot;-S1P1-C40"/>
        <s v="ICW-22201-3&quot;-S1P1-C40"/>
        <s v="ICW-22202-3&quot;-S1P1-C40"/>
        <s v="ICW-22207-1&quot;-S1P1-C40"/>
        <s v="ICW-22208-1&quot;-S1P1-C40"/>
        <s v="ICW-22352-4&quot;-S1P1-C40"/>
        <s v="ICW-22351-4&quot;-S1P1-C40"/>
        <s v="IW-22371-2&quot;-C1A1"/>
        <s v="IW-22372-1&quot;-C1A1"/>
        <s v="IW-22373-1&quot;-C1A1"/>
        <s v="IW-22374-1&quot;-C1A1"/>
        <s v="IW-22375-1&quot;-C1A1"/>
        <s v="IW-22376-1&quot;-C1A1"/>
        <s v="IW-22377-1&quot;-C1A1"/>
        <s v="IW-22378-1&quot;-C1A1"/>
        <s v="LC-22101-2&quot;-C3S1-HC2"/>
        <s v="LC-22102-2&quot;-C1S1-HC2"/>
        <s v="LC-22201-3&quot;-C3S1-HC2"/>
        <s v="LC-22202-3&quot;-C1S1-HC2"/>
        <s v="LC-22341-4&quot;-C1S1-HC2"/>
        <s v="MC-22341-1&quot;-C3S1-HC2"/>
        <s v="MC-22342-3/4&quot;-C3S1-HC2"/>
        <s v="MS-22101-3&quot;-C3S1-HC2"/>
        <s v="MS-22201-4&quot;-C3S1-HC2"/>
        <s v="MS-22341-6&quot;-C3S1-HC2"/>
        <s v="NI-22101-1&quot;-S1PL"/>
        <s v="NI-22311-3/4&quot;-S1P4"/>
        <s v="NI-22361-2&quot;-S1P4"/>
        <s v="NI-22362-1.1/2&quot;-S1P4"/>
        <s v="NI-22364-1&quot;-S1P4"/>
        <s v="NI-22365-1&quot;-S1P4"/>
        <s v="NI-22366-1&quot;-S1P4"/>
        <s v="NI-22367-1&quot;-S1P4"/>
        <s v="NI-22368-1&quot;-S1P4"/>
        <s v="NI-22369-1&quot;-S1P4"/>
        <s v="NI-22370-1&quot;-S1P4"/>
        <s v="P-22101-1&quot;-S1PL"/>
        <s v="P-22102-3&quot;-S1PL-HC1"/>
        <s v="P-22103-8&quot;-S1PL-HC1"/>
        <s v="P-22104-2&quot;-S1PL-HC1"/>
        <s v="P-22105-2&quot;-S1PL-HC1"/>
        <s v="P-22106-2&quot;-S1PL-HC1"/>
        <s v="P-22107-1.1/2&quot;-S1PL-HC1"/>
        <s v="P-22108-1.1/2&quot;-S1PL-HC1"/>
        <s v="P-22109-3/4&quot;-S1PL-HC1"/>
        <s v="P-22110-3/4&quot;-S1PL-HC1"/>
        <s v="P-22111-1.1/2&quot;-S1PL-PP1"/>
        <s v="P-22112-1&quot;-S1P4"/>
        <s v="P-22113-6&quot;-S1PL-HC1"/>
        <s v="P-22114-1&quot;-S1PL"/>
        <s v="P-22115-1.1/2&quot;-S1PL-HC1"/>
        <s v="P-22116-2&quot;-S1PL-HC1"/>
        <s v="P-22117-2&quot;-S1PL-HC1"/>
        <s v="P-22118-1.1/2&quot;-S1PL-HC1"/>
        <s v="P-22119-1.1/2&quot;-S1PL-HC1"/>
        <s v="P-22120-3/4&quot;-S1PL-HC1"/>
        <s v="P-22121-3/4&quot;-S1PL-HC1"/>
        <s v="P-22122-1.1/2&quot;-S1PL-HC1"/>
        <s v="P-22123-1&quot;-S1P4"/>
        <s v="P-22124-1.1/2&quot;-S1PL-PP1"/>
        <s v="P-22125-2&quot;-S1PL-PP1"/>
        <s v="P-22126-2&quot;-S1PL"/>
        <s v="P-22127-1&quot;-S1PL-PP1"/>
        <s v="P-22128-1&quot;-S1PL"/>
        <s v="P-22129-1&quot;-S1PL"/>
        <s v="P-22201-6&quot;-S1PL-HC1"/>
        <s v="P-22202-10&quot;-S1PL-HC1"/>
        <s v="P-22203-2&quot;-S1PL-HC1"/>
        <s v="P-22204-2&quot;-S1PL-HC1"/>
        <s v="P-22205-2&quot;-S1PL-HC1"/>
        <s v="P-22206-1.1/2&quot;-S1PL-HC1"/>
        <s v="P-22207-1.1/2&quot;-S1PL-HC1"/>
        <s v="P-22208-3/4&quot;-S1PL-HC1"/>
        <s v="P-22209-3/4&quot;-S1PL-HC1"/>
        <s v="P-22216-1.1/2&quot;-S1PL"/>
        <s v="P-22218-1&quot;-S1PL"/>
        <s v="P-22230-2&quot;-S1PL"/>
        <s v="P-22231-1&quot;-S1PL"/>
        <s v="P-22233-1&quot;-S1PL"/>
        <s v="P-22234-1&quot;-S1PL"/>
        <s v="P-22235-6&quot;-S1P1"/>
        <s v="PA-22361-2&quot;-C1A2"/>
        <s v="PA-22362-1&quot;-C1A2"/>
        <s v="PA-22363-1&quot;-C1A2"/>
        <s v="PA-22364-1&quot;-C1A2"/>
        <s v="PA-22365-1&quot;-C1A2"/>
        <s v="PA-22366-1&quot;-C1A2"/>
        <s v="PA-22367-1&quot;-C1A2"/>
        <s v="PA-22368-1&quot;-C1A2"/>
        <s v="PW2-22101-1&quot;-S1P4"/>
        <s v="PW2-22371-2&quot;-S1P4"/>
        <s v="PW2-22372-1&quot;-S1P4"/>
        <s v="PW2-22373-1&quot;-S1P4"/>
        <s v="PW2-22374-1&quot;-S1P4"/>
        <s v="PW2-22375-1&quot;-S1P4"/>
        <s v="PW2-22376-1&quot;-S1P4"/>
        <s v="PW2-22377-1&quot;-S1P4"/>
        <s v="PW2-22378-1&quot;-S1P4"/>
        <s v="RH-22101-4&quot;-C1P1"/>
        <s v="RH-22102-3&quot;-C1P1"/>
        <s v="RH-22201-6&quot;-C1P1"/>
        <s v="RH-22202-3&quot;-C1P1"/>
        <s v="SW-22371-2&quot;-S1P1"/>
        <s v="SW-22372-1.1/2&quot;-S1P1"/>
        <s v="SW-22373-1.1/2&quot;-S1P1"/>
        <s v="SW-22374-1.1/2&quot;-S1P1"/>
        <s v="SW-22375-1.1/2&quot;-S1P1"/>
        <s v="SW-22376-1.1/2&quot;-S1P1"/>
        <s v="SW-22377-1.1/2&quot;-S1P1"/>
        <s v="TRIM-D2210-N8-1&quot;-S1PL"/>
        <s v="TRIM-D2210-N35-1.1/2&quot;-S1PL"/>
        <s v="TRIM-D2210-N45AB-2&quot;-S1PL"/>
        <s v="TRIM-D2210-N47AB-2&quot;-S1PL"/>
        <s v="TRIM-E2210-S3-1&quot;-C3S1-HC1"/>
        <s v="TRIM-E2210-S4-1&quot;-C3S1-HC1"/>
        <s v="TRIM-E2211-T3-1&quot;-S1P1"/>
        <s v="TRIM-E2211-T4-1&quot;-S1P1"/>
        <s v="TRIM-E2212-S3-1/2&quot;-S1P1-C50"/>
        <s v="TRIM-E2212-S4-1/2&quot;-S1P1-C50"/>
        <s v="TRIM-E2212-T4-1/2&quot;-S1PL"/>
        <s v="TRIM-E2213-T3-1/2&quot;-S1P1"/>
        <s v="TRIM-E2213-T4-1/2&quot;-S1P1"/>
        <s v="TRIM-E2214-T3-1/2&quot;-S1P1"/>
        <s v="TRIM-E2214-T4-1/2&quot;-S1P1"/>
        <s v="TRIM-E2220-S3-1&quot;-C3S1-HC1"/>
        <s v="TRIM-E2220-S4-1&quot;-C3S1-HC1"/>
        <s v="TRIM-E2222-S3-1/2&quot;-S1P1-C50"/>
        <s v="TRIM-E2222-S4-1/2&quot;-S1P1-C50"/>
        <s v="TRIM-E2224-T3-1/2&quot;-S1P1"/>
        <s v="TRIM-E2224-T4-1/2&quot;-S1P1"/>
        <s v="TRIM-ES151-N2-1.1/2&quot;-S1P1"/>
        <s v="TRIM-STR22101A-D-1&quot;-S1PL-HC1"/>
        <s v="TRIM-STR22101A-V-1&quot;-S1PL-HC1"/>
        <s v="TRIM-STR22101B-D-1&quot;-S1PL-HC1"/>
        <s v="TRIM-STR22101B-V-1&quot;-S1PL-HC1"/>
        <s v="TRIM-STR22111A-D-1&quot;-S1PL-HC1"/>
        <s v="TRIM-STR22111A-V-1&quot;-S1PL-HC1"/>
        <s v="TRIM-STR22111B-D-1&quot;-S1PL-HC1"/>
        <s v="TRIM-STR22111B-V-1&quot;-S1PL-HC1"/>
        <s v="TRIM-STR22201A-D-1&quot;-S1PL-HC1"/>
        <s v="TRIM-STR22201A-V-1&quot;-S1PL-HC1"/>
        <s v="TRIM-STR22201B-D-1&quot;-S1PL-HC1"/>
        <s v="TRIM-STR22201B-V-1&quot;-S1PL-HC1"/>
        <s v="TRIM-T2210-N47AB-2&quot;-S1PL"/>
        <s v="TRIM-T2220-N35-2&quot;-S1PL"/>
        <s v="TRIM-T2220-N38-2&quot;-S1PL"/>
        <s v="TRIM-T2220-N47AB-2&quot;-S1PL"/>
        <s v="WW-22101-1&quot;-S1P4-PP1"/>
        <s v="WW-22201-1.1/2&quot;-S1P4"/>
        <s v="WW-22202-1.1/2&quot;-S1P4-PP1"/>
        <s v="WW-22371-1.1/2&quot;-S1P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x v="0"/>
    <x v="0"/>
    <x v="0"/>
    <n v="1"/>
    <n v="3"/>
    <s v="-"/>
    <x v="0"/>
    <s v="-"/>
    <x v="0"/>
    <x v="0"/>
  </r>
  <r>
    <x v="1"/>
    <x v="0"/>
    <x v="0"/>
    <n v="2"/>
    <n v="3"/>
    <s v="-"/>
    <x v="1"/>
    <s v="-"/>
    <x v="1"/>
    <x v="0"/>
  </r>
  <r>
    <x v="2"/>
    <x v="0"/>
    <x v="0"/>
    <n v="3"/>
    <n v="3"/>
    <s v="-"/>
    <x v="2"/>
    <s v="-"/>
    <x v="2"/>
    <x v="0"/>
  </r>
  <r>
    <x v="3"/>
    <x v="1"/>
    <x v="0"/>
    <n v="1"/>
    <n v="3"/>
    <s v="-"/>
    <x v="3"/>
    <s v="-"/>
    <x v="3"/>
    <x v="1"/>
  </r>
  <r>
    <x v="4"/>
    <x v="1"/>
    <x v="0"/>
    <n v="2"/>
    <n v="3"/>
    <s v="-"/>
    <x v="4"/>
    <s v="-"/>
    <x v="4"/>
    <x v="1"/>
  </r>
  <r>
    <x v="5"/>
    <x v="1"/>
    <x v="0"/>
    <n v="3"/>
    <n v="3"/>
    <s v="-"/>
    <x v="5"/>
    <s v="-"/>
    <x v="5"/>
    <x v="1"/>
  </r>
  <r>
    <x v="6"/>
    <x v="2"/>
    <x v="0"/>
    <n v="1"/>
    <n v="2"/>
    <s v="-"/>
    <x v="6"/>
    <s v="-"/>
    <x v="6"/>
    <x v="2"/>
  </r>
  <r>
    <x v="7"/>
    <x v="2"/>
    <x v="0"/>
    <n v="2"/>
    <n v="2"/>
    <s v="-"/>
    <x v="7"/>
    <s v="-"/>
    <x v="7"/>
    <x v="2"/>
  </r>
  <r>
    <x v="8"/>
    <x v="3"/>
    <x v="0"/>
    <n v="1"/>
    <n v="3"/>
    <s v="-"/>
    <x v="8"/>
    <s v="-"/>
    <x v="8"/>
    <x v="3"/>
  </r>
  <r>
    <x v="9"/>
    <x v="3"/>
    <x v="0"/>
    <n v="2"/>
    <n v="3"/>
    <s v="-"/>
    <x v="9"/>
    <s v="-"/>
    <x v="9"/>
    <x v="3"/>
  </r>
  <r>
    <x v="10"/>
    <x v="3"/>
    <x v="0"/>
    <n v="3"/>
    <n v="3"/>
    <s v="-"/>
    <x v="10"/>
    <s v="-"/>
    <x v="10"/>
    <x v="3"/>
  </r>
  <r>
    <x v="11"/>
    <x v="4"/>
    <x v="0"/>
    <n v="1"/>
    <n v="2"/>
    <s v="-"/>
    <x v="11"/>
    <s v="-"/>
    <x v="11"/>
    <x v="4"/>
  </r>
  <r>
    <x v="12"/>
    <x v="4"/>
    <x v="0"/>
    <n v="2"/>
    <n v="2"/>
    <s v="-"/>
    <x v="12"/>
    <s v="-"/>
    <x v="12"/>
    <x v="4"/>
  </r>
  <r>
    <x v="13"/>
    <x v="5"/>
    <x v="0"/>
    <n v="1"/>
    <n v="3"/>
    <s v="-"/>
    <x v="13"/>
    <s v="-"/>
    <x v="13"/>
    <x v="5"/>
  </r>
  <r>
    <x v="14"/>
    <x v="5"/>
    <x v="0"/>
    <n v="2"/>
    <n v="3"/>
    <s v="-"/>
    <x v="14"/>
    <s v="-"/>
    <x v="14"/>
    <x v="5"/>
  </r>
  <r>
    <x v="15"/>
    <x v="5"/>
    <x v="0"/>
    <n v="3"/>
    <n v="3"/>
    <s v="-"/>
    <x v="15"/>
    <s v="-"/>
    <x v="15"/>
    <x v="5"/>
  </r>
  <r>
    <x v="16"/>
    <x v="6"/>
    <x v="0"/>
    <n v="1"/>
    <n v="3"/>
    <s v="-"/>
    <x v="16"/>
    <s v="-"/>
    <x v="16"/>
    <x v="6"/>
  </r>
  <r>
    <x v="17"/>
    <x v="6"/>
    <x v="0"/>
    <n v="2"/>
    <n v="3"/>
    <s v="-"/>
    <x v="17"/>
    <s v="-"/>
    <x v="17"/>
    <x v="6"/>
  </r>
  <r>
    <x v="18"/>
    <x v="6"/>
    <x v="0"/>
    <n v="3"/>
    <n v="3"/>
    <s v="-"/>
    <x v="18"/>
    <s v="-"/>
    <x v="18"/>
    <x v="6"/>
  </r>
  <r>
    <x v="19"/>
    <x v="7"/>
    <x v="0"/>
    <n v="1"/>
    <n v="3"/>
    <s v="-"/>
    <x v="19"/>
    <s v="-"/>
    <x v="19"/>
    <x v="7"/>
  </r>
  <r>
    <x v="20"/>
    <x v="7"/>
    <x v="0"/>
    <n v="2"/>
    <n v="3"/>
    <s v="-"/>
    <x v="20"/>
    <s v="-"/>
    <x v="20"/>
    <x v="7"/>
  </r>
  <r>
    <x v="21"/>
    <x v="7"/>
    <x v="0"/>
    <n v="3"/>
    <n v="3"/>
    <s v="-"/>
    <x v="21"/>
    <s v="-"/>
    <x v="21"/>
    <x v="7"/>
  </r>
  <r>
    <x v="22"/>
    <x v="8"/>
    <x v="0"/>
    <n v="1"/>
    <n v="2"/>
    <s v="-"/>
    <x v="22"/>
    <s v="-"/>
    <x v="22"/>
    <x v="8"/>
  </r>
  <r>
    <x v="23"/>
    <x v="8"/>
    <x v="0"/>
    <n v="2"/>
    <n v="2"/>
    <s v="-"/>
    <x v="23"/>
    <s v="-"/>
    <x v="23"/>
    <x v="8"/>
  </r>
  <r>
    <x v="24"/>
    <x v="9"/>
    <x v="0"/>
    <n v="1"/>
    <n v="4"/>
    <s v="-"/>
    <x v="24"/>
    <s v="-"/>
    <x v="24"/>
    <x v="9"/>
  </r>
  <r>
    <x v="25"/>
    <x v="9"/>
    <x v="0"/>
    <n v="2"/>
    <n v="4"/>
    <s v="-"/>
    <x v="25"/>
    <s v="-"/>
    <x v="25"/>
    <x v="9"/>
  </r>
  <r>
    <x v="26"/>
    <x v="9"/>
    <x v="0"/>
    <n v="3"/>
    <n v="4"/>
    <s v="-"/>
    <x v="26"/>
    <s v="-"/>
    <x v="26"/>
    <x v="9"/>
  </r>
  <r>
    <x v="27"/>
    <x v="9"/>
    <x v="0"/>
    <n v="4"/>
    <n v="4"/>
    <s v="-"/>
    <x v="27"/>
    <s v="-"/>
    <x v="27"/>
    <x v="9"/>
  </r>
  <r>
    <x v="28"/>
    <x v="10"/>
    <x v="0"/>
    <n v="1"/>
    <n v="2"/>
    <s v="-"/>
    <x v="28"/>
    <s v="-"/>
    <x v="28"/>
    <x v="10"/>
  </r>
  <r>
    <x v="29"/>
    <x v="10"/>
    <x v="0"/>
    <n v="2"/>
    <n v="2"/>
    <s v="-"/>
    <x v="29"/>
    <s v="-"/>
    <x v="29"/>
    <x v="10"/>
  </r>
  <r>
    <x v="30"/>
    <x v="11"/>
    <x v="0"/>
    <n v="1"/>
    <n v="3"/>
    <s v="-"/>
    <x v="30"/>
    <s v="-"/>
    <x v="30"/>
    <x v="11"/>
  </r>
  <r>
    <x v="31"/>
    <x v="11"/>
    <x v="0"/>
    <n v="2"/>
    <n v="3"/>
    <s v="-"/>
    <x v="31"/>
    <s v="-"/>
    <x v="31"/>
    <x v="11"/>
  </r>
  <r>
    <x v="32"/>
    <x v="11"/>
    <x v="0"/>
    <n v="3"/>
    <n v="3"/>
    <s v="-"/>
    <x v="32"/>
    <s v="-"/>
    <x v="32"/>
    <x v="11"/>
  </r>
  <r>
    <x v="33"/>
    <x v="12"/>
    <x v="0"/>
    <n v="1"/>
    <n v="2"/>
    <s v="-"/>
    <x v="33"/>
    <s v="-"/>
    <x v="33"/>
    <x v="12"/>
  </r>
  <r>
    <x v="34"/>
    <x v="12"/>
    <x v="0"/>
    <n v="2"/>
    <n v="2"/>
    <s v="-"/>
    <x v="34"/>
    <s v="-"/>
    <x v="34"/>
    <x v="12"/>
  </r>
  <r>
    <x v="35"/>
    <x v="13"/>
    <x v="0"/>
    <n v="1"/>
    <n v="2"/>
    <s v="-"/>
    <x v="35"/>
    <s v="-"/>
    <x v="35"/>
    <x v="13"/>
  </r>
  <r>
    <x v="36"/>
    <x v="13"/>
    <x v="0"/>
    <n v="2"/>
    <n v="2"/>
    <s v="-"/>
    <x v="36"/>
    <s v="-"/>
    <x v="36"/>
    <x v="13"/>
  </r>
  <r>
    <x v="37"/>
    <x v="14"/>
    <x v="0"/>
    <n v="1"/>
    <n v="5"/>
    <s v="-"/>
    <x v="37"/>
    <s v="-"/>
    <x v="37"/>
    <x v="14"/>
  </r>
  <r>
    <x v="38"/>
    <x v="14"/>
    <x v="0"/>
    <n v="2"/>
    <n v="5"/>
    <s v="-"/>
    <x v="38"/>
    <s v="-"/>
    <x v="38"/>
    <x v="14"/>
  </r>
  <r>
    <x v="39"/>
    <x v="14"/>
    <x v="0"/>
    <n v="3"/>
    <n v="5"/>
    <s v="-"/>
    <x v="39"/>
    <s v="-"/>
    <x v="39"/>
    <x v="14"/>
  </r>
  <r>
    <x v="40"/>
    <x v="14"/>
    <x v="0"/>
    <n v="4"/>
    <n v="5"/>
    <s v="-"/>
    <x v="40"/>
    <s v="-"/>
    <x v="40"/>
    <x v="14"/>
  </r>
  <r>
    <x v="41"/>
    <x v="14"/>
    <x v="0"/>
    <n v="5"/>
    <n v="5"/>
    <s v="-"/>
    <x v="41"/>
    <s v="-"/>
    <x v="41"/>
    <x v="14"/>
  </r>
  <r>
    <x v="42"/>
    <x v="15"/>
    <x v="0"/>
    <n v="1"/>
    <n v="5"/>
    <s v="-"/>
    <x v="42"/>
    <s v="-"/>
    <x v="42"/>
    <x v="15"/>
  </r>
  <r>
    <x v="43"/>
    <x v="15"/>
    <x v="0"/>
    <n v="2"/>
    <n v="5"/>
    <s v="-"/>
    <x v="43"/>
    <s v="-"/>
    <x v="43"/>
    <x v="15"/>
  </r>
  <r>
    <x v="44"/>
    <x v="15"/>
    <x v="0"/>
    <n v="3"/>
    <n v="5"/>
    <s v="-"/>
    <x v="44"/>
    <s v="-"/>
    <x v="44"/>
    <x v="15"/>
  </r>
  <r>
    <x v="45"/>
    <x v="15"/>
    <x v="0"/>
    <n v="4"/>
    <n v="5"/>
    <s v="-"/>
    <x v="45"/>
    <s v="-"/>
    <x v="45"/>
    <x v="15"/>
  </r>
  <r>
    <x v="46"/>
    <x v="15"/>
    <x v="0"/>
    <n v="5"/>
    <n v="5"/>
    <s v="-"/>
    <x v="46"/>
    <s v="-"/>
    <x v="46"/>
    <x v="15"/>
  </r>
  <r>
    <x v="47"/>
    <x v="16"/>
    <x v="0"/>
    <n v="1"/>
    <n v="1"/>
    <s v="-"/>
    <x v="47"/>
    <s v="-"/>
    <x v="47"/>
    <x v="16"/>
  </r>
  <r>
    <x v="48"/>
    <x v="17"/>
    <x v="0"/>
    <n v="1"/>
    <n v="1"/>
    <s v="-"/>
    <x v="48"/>
    <s v="-"/>
    <x v="48"/>
    <x v="17"/>
  </r>
  <r>
    <x v="49"/>
    <x v="18"/>
    <x v="0"/>
    <n v="1"/>
    <n v="1"/>
    <s v="-"/>
    <x v="49"/>
    <s v="-"/>
    <x v="49"/>
    <x v="18"/>
  </r>
  <r>
    <x v="50"/>
    <x v="19"/>
    <x v="0"/>
    <n v="1"/>
    <n v="1"/>
    <s v="-"/>
    <x v="50"/>
    <s v="-"/>
    <x v="50"/>
    <x v="19"/>
  </r>
  <r>
    <x v="51"/>
    <x v="20"/>
    <x v="0"/>
    <n v="1"/>
    <n v="1"/>
    <s v="-"/>
    <x v="51"/>
    <s v="-"/>
    <x v="51"/>
    <x v="20"/>
  </r>
  <r>
    <x v="52"/>
    <x v="21"/>
    <x v="0"/>
    <n v="1"/>
    <n v="1"/>
    <s v="-"/>
    <x v="52"/>
    <s v="-"/>
    <x v="52"/>
    <x v="21"/>
  </r>
  <r>
    <x v="53"/>
    <x v="22"/>
    <x v="0"/>
    <n v="1"/>
    <n v="1"/>
    <s v="-"/>
    <x v="53"/>
    <s v="-"/>
    <x v="53"/>
    <x v="22"/>
  </r>
  <r>
    <x v="54"/>
    <x v="23"/>
    <x v="0"/>
    <n v="1"/>
    <n v="1"/>
    <s v="-"/>
    <x v="54"/>
    <s v="-"/>
    <x v="54"/>
    <x v="23"/>
  </r>
  <r>
    <x v="55"/>
    <x v="24"/>
    <x v="0"/>
    <n v="1"/>
    <n v="3"/>
    <s v="-"/>
    <x v="55"/>
    <s v="-"/>
    <x v="55"/>
    <x v="24"/>
  </r>
  <r>
    <x v="56"/>
    <x v="24"/>
    <x v="0"/>
    <n v="2"/>
    <n v="3"/>
    <s v="-"/>
    <x v="56"/>
    <s v="-"/>
    <x v="56"/>
    <x v="24"/>
  </r>
  <r>
    <x v="57"/>
    <x v="24"/>
    <x v="0"/>
    <n v="3"/>
    <n v="3"/>
    <s v="-"/>
    <x v="57"/>
    <s v="-"/>
    <x v="57"/>
    <x v="24"/>
  </r>
  <r>
    <x v="58"/>
    <x v="25"/>
    <x v="0"/>
    <n v="1"/>
    <n v="3"/>
    <s v="-"/>
    <x v="58"/>
    <s v="-"/>
    <x v="58"/>
    <x v="25"/>
  </r>
  <r>
    <x v="59"/>
    <x v="25"/>
    <x v="0"/>
    <n v="2"/>
    <n v="3"/>
    <s v="-"/>
    <x v="59"/>
    <s v="-"/>
    <x v="59"/>
    <x v="25"/>
  </r>
  <r>
    <x v="60"/>
    <x v="25"/>
    <x v="0"/>
    <n v="3"/>
    <n v="3"/>
    <s v="-"/>
    <x v="60"/>
    <s v="-"/>
    <x v="60"/>
    <x v="25"/>
  </r>
  <r>
    <x v="61"/>
    <x v="26"/>
    <x v="0"/>
    <n v="1"/>
    <n v="2"/>
    <s v="-"/>
    <x v="61"/>
    <s v="-"/>
    <x v="61"/>
    <x v="26"/>
  </r>
  <r>
    <x v="62"/>
    <x v="26"/>
    <x v="0"/>
    <n v="2"/>
    <n v="2"/>
    <s v="-"/>
    <x v="62"/>
    <s v="-"/>
    <x v="62"/>
    <x v="26"/>
  </r>
  <r>
    <x v="63"/>
    <x v="27"/>
    <x v="0"/>
    <n v="1"/>
    <n v="3"/>
    <s v="-"/>
    <x v="63"/>
    <s v="-"/>
    <x v="63"/>
    <x v="27"/>
  </r>
  <r>
    <x v="64"/>
    <x v="27"/>
    <x v="0"/>
    <n v="2"/>
    <n v="3"/>
    <s v="-"/>
    <x v="64"/>
    <s v="-"/>
    <x v="64"/>
    <x v="27"/>
  </r>
  <r>
    <x v="65"/>
    <x v="27"/>
    <x v="0"/>
    <n v="3"/>
    <n v="3"/>
    <s v="-"/>
    <x v="65"/>
    <s v="-"/>
    <x v="65"/>
    <x v="27"/>
  </r>
  <r>
    <x v="66"/>
    <x v="28"/>
    <x v="0"/>
    <n v="1"/>
    <n v="1"/>
    <s v="-"/>
    <x v="66"/>
    <s v="-"/>
    <x v="66"/>
    <x v="28"/>
  </r>
  <r>
    <x v="67"/>
    <x v="29"/>
    <x v="0"/>
    <n v="1"/>
    <n v="1"/>
    <s v="-"/>
    <x v="67"/>
    <s v="-"/>
    <x v="67"/>
    <x v="29"/>
  </r>
  <r>
    <x v="68"/>
    <x v="30"/>
    <x v="0"/>
    <n v="1"/>
    <n v="1"/>
    <s v="-"/>
    <x v="68"/>
    <s v="-"/>
    <x v="68"/>
    <x v="30"/>
  </r>
  <r>
    <x v="69"/>
    <x v="31"/>
    <x v="0"/>
    <n v="1"/>
    <n v="1"/>
    <s v="-"/>
    <x v="69"/>
    <s v="-"/>
    <x v="69"/>
    <x v="31"/>
  </r>
  <r>
    <x v="70"/>
    <x v="32"/>
    <x v="0"/>
    <n v="1"/>
    <n v="2"/>
    <s v="-"/>
    <x v="70"/>
    <s v="-"/>
    <x v="70"/>
    <x v="32"/>
  </r>
  <r>
    <x v="71"/>
    <x v="32"/>
    <x v="0"/>
    <n v="2"/>
    <n v="2"/>
    <s v="-"/>
    <x v="71"/>
    <s v="-"/>
    <x v="71"/>
    <x v="32"/>
  </r>
  <r>
    <x v="72"/>
    <x v="33"/>
    <x v="0"/>
    <n v="1"/>
    <n v="2"/>
    <s v="-"/>
    <x v="72"/>
    <s v="-"/>
    <x v="72"/>
    <x v="33"/>
  </r>
  <r>
    <x v="73"/>
    <x v="33"/>
    <x v="0"/>
    <n v="2"/>
    <n v="2"/>
    <s v="-"/>
    <x v="73"/>
    <s v="-"/>
    <x v="73"/>
    <x v="33"/>
  </r>
  <r>
    <x v="74"/>
    <x v="34"/>
    <x v="0"/>
    <n v="1"/>
    <n v="1"/>
    <s v="-"/>
    <x v="74"/>
    <s v="-"/>
    <x v="74"/>
    <x v="34"/>
  </r>
  <r>
    <x v="75"/>
    <x v="35"/>
    <x v="0"/>
    <n v="1"/>
    <n v="1"/>
    <s v="-"/>
    <x v="75"/>
    <s v="-"/>
    <x v="75"/>
    <x v="35"/>
  </r>
  <r>
    <x v="76"/>
    <x v="36"/>
    <x v="0"/>
    <n v="1"/>
    <n v="2"/>
    <s v="-"/>
    <x v="76"/>
    <s v="-"/>
    <x v="76"/>
    <x v="36"/>
  </r>
  <r>
    <x v="77"/>
    <x v="36"/>
    <x v="0"/>
    <n v="2"/>
    <n v="2"/>
    <s v="-"/>
    <x v="77"/>
    <s v="-"/>
    <x v="77"/>
    <x v="36"/>
  </r>
  <r>
    <x v="78"/>
    <x v="37"/>
    <x v="0"/>
    <n v="1"/>
    <n v="2"/>
    <s v="-"/>
    <x v="78"/>
    <s v="-"/>
    <x v="78"/>
    <x v="37"/>
  </r>
  <r>
    <x v="79"/>
    <x v="37"/>
    <x v="0"/>
    <n v="2"/>
    <n v="2"/>
    <s v="-"/>
    <x v="79"/>
    <s v="-"/>
    <x v="79"/>
    <x v="37"/>
  </r>
  <r>
    <x v="80"/>
    <x v="38"/>
    <x v="0"/>
    <n v="1"/>
    <n v="3"/>
    <s v="-"/>
    <x v="80"/>
    <s v="-"/>
    <x v="80"/>
    <x v="38"/>
  </r>
  <r>
    <x v="81"/>
    <x v="38"/>
    <x v="0"/>
    <n v="2"/>
    <n v="3"/>
    <s v="-"/>
    <x v="81"/>
    <s v="-"/>
    <x v="81"/>
    <x v="38"/>
  </r>
  <r>
    <x v="82"/>
    <x v="38"/>
    <x v="0"/>
    <n v="3"/>
    <n v="3"/>
    <s v="-"/>
    <x v="82"/>
    <s v="-"/>
    <x v="82"/>
    <x v="38"/>
  </r>
  <r>
    <x v="83"/>
    <x v="39"/>
    <x v="0"/>
    <n v="1"/>
    <n v="1"/>
    <s v="-"/>
    <x v="83"/>
    <s v="-"/>
    <x v="83"/>
    <x v="39"/>
  </r>
  <r>
    <x v="84"/>
    <x v="40"/>
    <x v="0"/>
    <n v="1"/>
    <n v="1"/>
    <s v="-"/>
    <x v="84"/>
    <s v="-"/>
    <x v="84"/>
    <x v="40"/>
  </r>
  <r>
    <x v="85"/>
    <x v="41"/>
    <x v="0"/>
    <n v="1"/>
    <n v="1"/>
    <s v="-"/>
    <x v="85"/>
    <s v="-"/>
    <x v="85"/>
    <x v="41"/>
  </r>
  <r>
    <x v="86"/>
    <x v="42"/>
    <x v="0"/>
    <n v="1"/>
    <n v="1"/>
    <s v="-"/>
    <x v="86"/>
    <s v="-"/>
    <x v="86"/>
    <x v="42"/>
  </r>
  <r>
    <x v="87"/>
    <x v="43"/>
    <x v="0"/>
    <n v="1"/>
    <n v="1"/>
    <s v="-"/>
    <x v="87"/>
    <s v="-"/>
    <x v="87"/>
    <x v="43"/>
  </r>
  <r>
    <x v="88"/>
    <x v="44"/>
    <x v="0"/>
    <n v="1"/>
    <n v="1"/>
    <s v="-"/>
    <x v="88"/>
    <s v="-"/>
    <x v="88"/>
    <x v="44"/>
  </r>
  <r>
    <x v="89"/>
    <x v="45"/>
    <x v="0"/>
    <n v="1"/>
    <n v="1"/>
    <s v="-"/>
    <x v="89"/>
    <s v="-"/>
    <x v="89"/>
    <x v="45"/>
  </r>
  <r>
    <x v="90"/>
    <x v="46"/>
    <x v="0"/>
    <n v="1"/>
    <n v="1"/>
    <s v="-"/>
    <x v="90"/>
    <s v="-"/>
    <x v="90"/>
    <x v="46"/>
  </r>
  <r>
    <x v="91"/>
    <x v="47"/>
    <x v="0"/>
    <n v="1"/>
    <n v="2"/>
    <s v="-"/>
    <x v="91"/>
    <s v="-"/>
    <x v="91"/>
    <x v="47"/>
  </r>
  <r>
    <x v="92"/>
    <x v="47"/>
    <x v="0"/>
    <n v="2"/>
    <n v="2"/>
    <s v="-"/>
    <x v="92"/>
    <s v="-"/>
    <x v="92"/>
    <x v="47"/>
  </r>
  <r>
    <x v="93"/>
    <x v="48"/>
    <x v="0"/>
    <n v="1"/>
    <n v="1"/>
    <s v="-"/>
    <x v="93"/>
    <s v="-"/>
    <x v="93"/>
    <x v="48"/>
  </r>
  <r>
    <x v="94"/>
    <x v="49"/>
    <x v="1"/>
    <n v="1"/>
    <n v="2"/>
    <s v="-"/>
    <x v="94"/>
    <s v="-"/>
    <x v="94"/>
    <x v="49"/>
  </r>
  <r>
    <x v="95"/>
    <x v="49"/>
    <x v="1"/>
    <n v="2"/>
    <n v="2"/>
    <s v="-"/>
    <x v="95"/>
    <s v="-"/>
    <x v="95"/>
    <x v="49"/>
  </r>
  <r>
    <x v="96"/>
    <x v="50"/>
    <x v="1"/>
    <n v="1"/>
    <n v="2"/>
    <s v="-"/>
    <x v="96"/>
    <s v="-"/>
    <x v="96"/>
    <x v="50"/>
  </r>
  <r>
    <x v="97"/>
    <x v="50"/>
    <x v="1"/>
    <n v="2"/>
    <n v="2"/>
    <s v="-"/>
    <x v="97"/>
    <s v="-"/>
    <x v="97"/>
    <x v="50"/>
  </r>
  <r>
    <x v="98"/>
    <x v="51"/>
    <x v="0"/>
    <n v="1"/>
    <n v="1"/>
    <s v="-"/>
    <x v="98"/>
    <s v="-"/>
    <x v="98"/>
    <x v="51"/>
  </r>
  <r>
    <x v="99"/>
    <x v="52"/>
    <x v="0"/>
    <n v="1"/>
    <n v="2"/>
    <s v="-"/>
    <x v="99"/>
    <s v="-"/>
    <x v="99"/>
    <x v="52"/>
  </r>
  <r>
    <x v="100"/>
    <x v="52"/>
    <x v="0"/>
    <n v="2"/>
    <n v="2"/>
    <s v="-"/>
    <x v="100"/>
    <s v="-"/>
    <x v="100"/>
    <x v="52"/>
  </r>
  <r>
    <x v="101"/>
    <x v="53"/>
    <x v="0"/>
    <n v="1"/>
    <n v="6"/>
    <s v="-"/>
    <x v="101"/>
    <s v="-"/>
    <x v="101"/>
    <x v="53"/>
  </r>
  <r>
    <x v="102"/>
    <x v="53"/>
    <x v="0"/>
    <n v="2"/>
    <n v="6"/>
    <s v="-"/>
    <x v="102"/>
    <s v="-"/>
    <x v="102"/>
    <x v="53"/>
  </r>
  <r>
    <x v="103"/>
    <x v="53"/>
    <x v="0"/>
    <n v="3"/>
    <n v="6"/>
    <s v="-"/>
    <x v="103"/>
    <s v="-"/>
    <x v="103"/>
    <x v="53"/>
  </r>
  <r>
    <x v="104"/>
    <x v="53"/>
    <x v="0"/>
    <n v="4"/>
    <n v="6"/>
    <s v="-"/>
    <x v="104"/>
    <s v="-"/>
    <x v="104"/>
    <x v="53"/>
  </r>
  <r>
    <x v="105"/>
    <x v="53"/>
    <x v="0"/>
    <n v="5"/>
    <n v="6"/>
    <s v="-"/>
    <x v="105"/>
    <s v="-"/>
    <x v="105"/>
    <x v="53"/>
  </r>
  <r>
    <x v="106"/>
    <x v="53"/>
    <x v="0"/>
    <n v="6"/>
    <n v="6"/>
    <s v="-"/>
    <x v="106"/>
    <s v="-"/>
    <x v="106"/>
    <x v="53"/>
  </r>
  <r>
    <x v="107"/>
    <x v="54"/>
    <x v="0"/>
    <n v="1"/>
    <n v="4"/>
    <s v="-"/>
    <x v="107"/>
    <s v="-"/>
    <x v="107"/>
    <x v="54"/>
  </r>
  <r>
    <x v="108"/>
    <x v="54"/>
    <x v="0"/>
    <n v="2"/>
    <n v="4"/>
    <s v="-"/>
    <x v="108"/>
    <s v="-"/>
    <x v="108"/>
    <x v="54"/>
  </r>
  <r>
    <x v="109"/>
    <x v="54"/>
    <x v="0"/>
    <n v="3"/>
    <n v="4"/>
    <s v="-"/>
    <x v="109"/>
    <s v="-"/>
    <x v="109"/>
    <x v="54"/>
  </r>
  <r>
    <x v="110"/>
    <x v="54"/>
    <x v="0"/>
    <n v="4"/>
    <n v="4"/>
    <s v="-"/>
    <x v="110"/>
    <s v="-"/>
    <x v="110"/>
    <x v="54"/>
  </r>
  <r>
    <x v="111"/>
    <x v="55"/>
    <x v="0"/>
    <n v="1"/>
    <n v="4"/>
    <s v="-"/>
    <x v="111"/>
    <s v="-"/>
    <x v="111"/>
    <x v="55"/>
  </r>
  <r>
    <x v="112"/>
    <x v="55"/>
    <x v="0"/>
    <n v="2"/>
    <n v="4"/>
    <s v="-"/>
    <x v="112"/>
    <s v="-"/>
    <x v="112"/>
    <x v="55"/>
  </r>
  <r>
    <x v="113"/>
    <x v="55"/>
    <x v="0"/>
    <n v="3"/>
    <n v="4"/>
    <s v="-"/>
    <x v="113"/>
    <s v="-"/>
    <x v="113"/>
    <x v="55"/>
  </r>
  <r>
    <x v="114"/>
    <x v="55"/>
    <x v="0"/>
    <n v="4"/>
    <n v="4"/>
    <s v="-"/>
    <x v="114"/>
    <s v="-"/>
    <x v="114"/>
    <x v="55"/>
  </r>
  <r>
    <x v="115"/>
    <x v="56"/>
    <x v="0"/>
    <n v="1"/>
    <n v="2"/>
    <s v="-"/>
    <x v="115"/>
    <s v="-"/>
    <x v="115"/>
    <x v="56"/>
  </r>
  <r>
    <x v="116"/>
    <x v="56"/>
    <x v="0"/>
    <n v="2"/>
    <n v="2"/>
    <s v="-"/>
    <x v="116"/>
    <s v="-"/>
    <x v="116"/>
    <x v="56"/>
  </r>
  <r>
    <x v="117"/>
    <x v="57"/>
    <x v="0"/>
    <n v="1"/>
    <n v="2"/>
    <s v="-"/>
    <x v="117"/>
    <s v="-"/>
    <x v="117"/>
    <x v="57"/>
  </r>
  <r>
    <x v="118"/>
    <x v="57"/>
    <x v="0"/>
    <n v="2"/>
    <n v="2"/>
    <s v="-"/>
    <x v="118"/>
    <s v="-"/>
    <x v="118"/>
    <x v="57"/>
  </r>
  <r>
    <x v="119"/>
    <x v="58"/>
    <x v="0"/>
    <n v="1"/>
    <n v="2"/>
    <s v="-"/>
    <x v="119"/>
    <s v="-"/>
    <x v="119"/>
    <x v="58"/>
  </r>
  <r>
    <x v="120"/>
    <x v="58"/>
    <x v="0"/>
    <n v="2"/>
    <n v="2"/>
    <s v="-"/>
    <x v="120"/>
    <s v="-"/>
    <x v="120"/>
    <x v="58"/>
  </r>
  <r>
    <x v="121"/>
    <x v="59"/>
    <x v="0"/>
    <n v="1"/>
    <n v="3"/>
    <s v="-"/>
    <x v="121"/>
    <s v="-"/>
    <x v="121"/>
    <x v="59"/>
  </r>
  <r>
    <x v="122"/>
    <x v="59"/>
    <x v="0"/>
    <n v="2"/>
    <n v="3"/>
    <s v="-"/>
    <x v="122"/>
    <s v="-"/>
    <x v="122"/>
    <x v="59"/>
  </r>
  <r>
    <x v="123"/>
    <x v="59"/>
    <x v="0"/>
    <n v="3"/>
    <n v="3"/>
    <s v="-"/>
    <x v="123"/>
    <s v="-"/>
    <x v="123"/>
    <x v="59"/>
  </r>
  <r>
    <x v="124"/>
    <x v="60"/>
    <x v="0"/>
    <n v="1"/>
    <n v="1"/>
    <s v="-"/>
    <x v="124"/>
    <s v="-"/>
    <x v="124"/>
    <x v="60"/>
  </r>
  <r>
    <x v="125"/>
    <x v="61"/>
    <x v="0"/>
    <n v="1"/>
    <n v="1"/>
    <s v="-"/>
    <x v="125"/>
    <s v="-"/>
    <x v="125"/>
    <x v="61"/>
  </r>
  <r>
    <x v="126"/>
    <x v="62"/>
    <x v="0"/>
    <n v="1"/>
    <n v="1"/>
    <s v="-"/>
    <x v="126"/>
    <s v="-"/>
    <x v="126"/>
    <x v="62"/>
  </r>
  <r>
    <x v="127"/>
    <x v="63"/>
    <x v="0"/>
    <n v="1"/>
    <n v="1"/>
    <s v="-"/>
    <x v="127"/>
    <s v="-"/>
    <x v="127"/>
    <x v="63"/>
  </r>
  <r>
    <x v="128"/>
    <x v="64"/>
    <x v="0"/>
    <n v="1"/>
    <n v="1"/>
    <s v="-"/>
    <x v="128"/>
    <s v="-"/>
    <x v="128"/>
    <x v="64"/>
  </r>
  <r>
    <x v="129"/>
    <x v="65"/>
    <x v="0"/>
    <n v="1"/>
    <n v="1"/>
    <s v="-"/>
    <x v="129"/>
    <s v="-"/>
    <x v="129"/>
    <x v="65"/>
  </r>
  <r>
    <x v="130"/>
    <x v="66"/>
    <x v="0"/>
    <n v="1"/>
    <n v="1"/>
    <s v="-"/>
    <x v="130"/>
    <s v="-"/>
    <x v="130"/>
    <x v="66"/>
  </r>
  <r>
    <x v="131"/>
    <x v="67"/>
    <x v="0"/>
    <n v="1"/>
    <n v="7"/>
    <s v="-"/>
    <x v="131"/>
    <s v="-"/>
    <x v="131"/>
    <x v="67"/>
  </r>
  <r>
    <x v="132"/>
    <x v="67"/>
    <x v="0"/>
    <n v="2"/>
    <n v="7"/>
    <s v="-"/>
    <x v="132"/>
    <s v="-"/>
    <x v="132"/>
    <x v="67"/>
  </r>
  <r>
    <x v="133"/>
    <x v="67"/>
    <x v="0"/>
    <n v="3"/>
    <n v="7"/>
    <s v="-"/>
    <x v="133"/>
    <s v="-"/>
    <x v="133"/>
    <x v="67"/>
  </r>
  <r>
    <x v="134"/>
    <x v="67"/>
    <x v="0"/>
    <n v="4"/>
    <n v="7"/>
    <s v="-"/>
    <x v="134"/>
    <s v="-"/>
    <x v="134"/>
    <x v="67"/>
  </r>
  <r>
    <x v="135"/>
    <x v="67"/>
    <x v="0"/>
    <n v="5"/>
    <n v="7"/>
    <s v="-"/>
    <x v="135"/>
    <s v="-"/>
    <x v="135"/>
    <x v="67"/>
  </r>
  <r>
    <x v="136"/>
    <x v="67"/>
    <x v="0"/>
    <n v="6"/>
    <n v="7"/>
    <s v="-"/>
    <x v="136"/>
    <s v="-"/>
    <x v="136"/>
    <x v="67"/>
  </r>
  <r>
    <x v="137"/>
    <x v="67"/>
    <x v="0"/>
    <n v="7"/>
    <n v="7"/>
    <s v="-"/>
    <x v="137"/>
    <s v="-"/>
    <x v="137"/>
    <x v="67"/>
  </r>
  <r>
    <x v="138"/>
    <x v="68"/>
    <x v="0"/>
    <n v="1"/>
    <n v="1"/>
    <s v="-"/>
    <x v="138"/>
    <s v="-"/>
    <x v="138"/>
    <x v="68"/>
  </r>
  <r>
    <x v="139"/>
    <x v="69"/>
    <x v="0"/>
    <n v="1"/>
    <n v="1"/>
    <s v="-"/>
    <x v="139"/>
    <s v="-"/>
    <x v="139"/>
    <x v="69"/>
  </r>
  <r>
    <x v="140"/>
    <x v="70"/>
    <x v="0"/>
    <n v="1"/>
    <n v="2"/>
    <s v="-"/>
    <x v="140"/>
    <s v="-"/>
    <x v="140"/>
    <x v="70"/>
  </r>
  <r>
    <x v="141"/>
    <x v="70"/>
    <x v="0"/>
    <n v="2"/>
    <n v="2"/>
    <s v="-"/>
    <x v="141"/>
    <s v="-"/>
    <x v="141"/>
    <x v="70"/>
  </r>
  <r>
    <x v="142"/>
    <x v="71"/>
    <x v="0"/>
    <n v="1"/>
    <n v="1"/>
    <s v="-"/>
    <x v="142"/>
    <s v="-"/>
    <x v="142"/>
    <x v="71"/>
  </r>
  <r>
    <x v="143"/>
    <x v="72"/>
    <x v="0"/>
    <n v="1"/>
    <n v="1"/>
    <s v="-"/>
    <x v="143"/>
    <s v="-"/>
    <x v="143"/>
    <x v="72"/>
  </r>
  <r>
    <x v="144"/>
    <x v="73"/>
    <x v="0"/>
    <n v="1"/>
    <n v="5"/>
    <s v="-"/>
    <x v="144"/>
    <s v="-"/>
    <x v="144"/>
    <x v="73"/>
  </r>
  <r>
    <x v="145"/>
    <x v="73"/>
    <x v="0"/>
    <n v="2"/>
    <n v="5"/>
    <s v="-"/>
    <x v="145"/>
    <s v="-"/>
    <x v="145"/>
    <x v="73"/>
  </r>
  <r>
    <x v="146"/>
    <x v="73"/>
    <x v="0"/>
    <n v="3"/>
    <n v="5"/>
    <s v="-"/>
    <x v="146"/>
    <s v="-"/>
    <x v="146"/>
    <x v="73"/>
  </r>
  <r>
    <x v="147"/>
    <x v="73"/>
    <x v="0"/>
    <n v="4"/>
    <n v="5"/>
    <s v="-"/>
    <x v="147"/>
    <s v="-"/>
    <x v="147"/>
    <x v="73"/>
  </r>
  <r>
    <x v="148"/>
    <x v="73"/>
    <x v="0"/>
    <n v="5"/>
    <n v="5"/>
    <s v="-"/>
    <x v="148"/>
    <s v="-"/>
    <x v="148"/>
    <x v="73"/>
  </r>
  <r>
    <x v="149"/>
    <x v="74"/>
    <x v="0"/>
    <n v="1"/>
    <n v="2"/>
    <s v="-"/>
    <x v="149"/>
    <s v="-"/>
    <x v="149"/>
    <x v="74"/>
  </r>
  <r>
    <x v="150"/>
    <x v="74"/>
    <x v="0"/>
    <n v="2"/>
    <n v="2"/>
    <s v="-"/>
    <x v="150"/>
    <s v="-"/>
    <x v="150"/>
    <x v="74"/>
  </r>
  <r>
    <x v="151"/>
    <x v="75"/>
    <x v="0"/>
    <n v="1"/>
    <n v="1"/>
    <s v="-"/>
    <x v="151"/>
    <s v="-"/>
    <x v="151"/>
    <x v="75"/>
  </r>
  <r>
    <x v="152"/>
    <x v="76"/>
    <x v="0"/>
    <n v="1"/>
    <n v="1"/>
    <s v="-"/>
    <x v="152"/>
    <s v="-"/>
    <x v="152"/>
    <x v="76"/>
  </r>
  <r>
    <x v="153"/>
    <x v="77"/>
    <x v="0"/>
    <n v="1"/>
    <n v="2"/>
    <s v="-"/>
    <x v="153"/>
    <s v="-"/>
    <x v="153"/>
    <x v="77"/>
  </r>
  <r>
    <x v="154"/>
    <x v="77"/>
    <x v="0"/>
    <n v="2"/>
    <n v="2"/>
    <s v="-"/>
    <x v="154"/>
    <s v="-"/>
    <x v="154"/>
    <x v="77"/>
  </r>
  <r>
    <x v="155"/>
    <x v="78"/>
    <x v="0"/>
    <n v="1"/>
    <n v="2"/>
    <s v="-"/>
    <x v="155"/>
    <s v="-"/>
    <x v="155"/>
    <x v="78"/>
  </r>
  <r>
    <x v="156"/>
    <x v="78"/>
    <x v="0"/>
    <n v="2"/>
    <n v="2"/>
    <s v="-"/>
    <x v="156"/>
    <s v="-"/>
    <x v="156"/>
    <x v="78"/>
  </r>
  <r>
    <x v="157"/>
    <x v="79"/>
    <x v="0"/>
    <n v="1"/>
    <n v="3"/>
    <s v="-"/>
    <x v="157"/>
    <s v="-"/>
    <x v="157"/>
    <x v="79"/>
  </r>
  <r>
    <x v="158"/>
    <x v="79"/>
    <x v="0"/>
    <n v="2"/>
    <n v="3"/>
    <s v="-"/>
    <x v="158"/>
    <s v="-"/>
    <x v="158"/>
    <x v="79"/>
  </r>
  <r>
    <x v="159"/>
    <x v="79"/>
    <x v="0"/>
    <n v="3"/>
    <n v="3"/>
    <s v="-"/>
    <x v="159"/>
    <s v="-"/>
    <x v="159"/>
    <x v="79"/>
  </r>
  <r>
    <x v="160"/>
    <x v="80"/>
    <x v="1"/>
    <n v="1"/>
    <n v="2"/>
    <s v="-"/>
    <x v="160"/>
    <s v="-"/>
    <x v="160"/>
    <x v="80"/>
  </r>
  <r>
    <x v="161"/>
    <x v="80"/>
    <x v="1"/>
    <n v="2"/>
    <n v="2"/>
    <s v="-"/>
    <x v="161"/>
    <s v="-"/>
    <x v="161"/>
    <x v="80"/>
  </r>
  <r>
    <x v="162"/>
    <x v="81"/>
    <x v="0"/>
    <n v="1"/>
    <n v="2"/>
    <s v="-"/>
    <x v="162"/>
    <s v="-"/>
    <x v="162"/>
    <x v="81"/>
  </r>
  <r>
    <x v="163"/>
    <x v="81"/>
    <x v="0"/>
    <n v="2"/>
    <n v="2"/>
    <s v="-"/>
    <x v="163"/>
    <s v="-"/>
    <x v="163"/>
    <x v="81"/>
  </r>
  <r>
    <x v="164"/>
    <x v="82"/>
    <x v="0"/>
    <n v="1"/>
    <n v="4"/>
    <s v="-"/>
    <x v="164"/>
    <s v="-"/>
    <x v="164"/>
    <x v="82"/>
  </r>
  <r>
    <x v="165"/>
    <x v="82"/>
    <x v="0"/>
    <n v="2"/>
    <n v="4"/>
    <s v="-"/>
    <x v="165"/>
    <s v="-"/>
    <x v="165"/>
    <x v="82"/>
  </r>
  <r>
    <x v="166"/>
    <x v="82"/>
    <x v="0"/>
    <n v="3"/>
    <n v="4"/>
    <s v="-"/>
    <x v="166"/>
    <s v="-"/>
    <x v="166"/>
    <x v="82"/>
  </r>
  <r>
    <x v="167"/>
    <x v="82"/>
    <x v="0"/>
    <n v="4"/>
    <n v="4"/>
    <s v="-"/>
    <x v="167"/>
    <s v="-"/>
    <x v="167"/>
    <x v="82"/>
  </r>
  <r>
    <x v="168"/>
    <x v="83"/>
    <x v="0"/>
    <n v="1"/>
    <n v="1"/>
    <s v="-"/>
    <x v="168"/>
    <s v="-"/>
    <x v="168"/>
    <x v="83"/>
  </r>
  <r>
    <x v="169"/>
    <x v="84"/>
    <x v="0"/>
    <n v="1"/>
    <n v="3"/>
    <s v="-"/>
    <x v="169"/>
    <s v="-"/>
    <x v="169"/>
    <x v="84"/>
  </r>
  <r>
    <x v="170"/>
    <x v="84"/>
    <x v="0"/>
    <n v="2"/>
    <n v="3"/>
    <s v="-"/>
    <x v="170"/>
    <s v="-"/>
    <x v="170"/>
    <x v="84"/>
  </r>
  <r>
    <x v="171"/>
    <x v="84"/>
    <x v="0"/>
    <n v="3"/>
    <n v="3"/>
    <s v="-"/>
    <x v="171"/>
    <s v="-"/>
    <x v="171"/>
    <x v="84"/>
  </r>
  <r>
    <x v="172"/>
    <x v="85"/>
    <x v="0"/>
    <n v="1"/>
    <n v="2"/>
    <s v="-"/>
    <x v="172"/>
    <s v="-"/>
    <x v="172"/>
    <x v="85"/>
  </r>
  <r>
    <x v="173"/>
    <x v="85"/>
    <x v="0"/>
    <n v="2"/>
    <n v="2"/>
    <s v="-"/>
    <x v="173"/>
    <s v="-"/>
    <x v="173"/>
    <x v="85"/>
  </r>
  <r>
    <x v="174"/>
    <x v="86"/>
    <x v="0"/>
    <n v="1"/>
    <n v="1"/>
    <s v="-"/>
    <x v="174"/>
    <s v="-"/>
    <x v="174"/>
    <x v="86"/>
  </r>
  <r>
    <x v="175"/>
    <x v="87"/>
    <x v="0"/>
    <n v="1"/>
    <n v="1"/>
    <s v="-"/>
    <x v="175"/>
    <s v="-"/>
    <x v="175"/>
    <x v="87"/>
  </r>
  <r>
    <x v="176"/>
    <x v="88"/>
    <x v="0"/>
    <n v="1"/>
    <n v="4"/>
    <s v="-"/>
    <x v="176"/>
    <s v="-"/>
    <x v="176"/>
    <x v="88"/>
  </r>
  <r>
    <x v="177"/>
    <x v="88"/>
    <x v="0"/>
    <n v="2"/>
    <n v="4"/>
    <s v="-"/>
    <x v="177"/>
    <s v="-"/>
    <x v="177"/>
    <x v="88"/>
  </r>
  <r>
    <x v="178"/>
    <x v="88"/>
    <x v="0"/>
    <n v="3"/>
    <n v="4"/>
    <s v="-"/>
    <x v="178"/>
    <s v="-"/>
    <x v="178"/>
    <x v="88"/>
  </r>
  <r>
    <x v="179"/>
    <x v="88"/>
    <x v="0"/>
    <n v="4"/>
    <n v="4"/>
    <s v="-"/>
    <x v="179"/>
    <s v="-"/>
    <x v="179"/>
    <x v="88"/>
  </r>
  <r>
    <x v="180"/>
    <x v="89"/>
    <x v="0"/>
    <n v="1"/>
    <n v="4"/>
    <s v="-"/>
    <x v="180"/>
    <s v="-"/>
    <x v="180"/>
    <x v="89"/>
  </r>
  <r>
    <x v="181"/>
    <x v="89"/>
    <x v="0"/>
    <n v="2"/>
    <n v="4"/>
    <s v="-"/>
    <x v="181"/>
    <s v="-"/>
    <x v="181"/>
    <x v="89"/>
  </r>
  <r>
    <x v="182"/>
    <x v="89"/>
    <x v="0"/>
    <n v="3"/>
    <n v="4"/>
    <s v="-"/>
    <x v="182"/>
    <s v="-"/>
    <x v="182"/>
    <x v="89"/>
  </r>
  <r>
    <x v="183"/>
    <x v="89"/>
    <x v="0"/>
    <n v="4"/>
    <n v="4"/>
    <s v="-"/>
    <x v="183"/>
    <s v="-"/>
    <x v="183"/>
    <x v="89"/>
  </r>
  <r>
    <x v="184"/>
    <x v="90"/>
    <x v="0"/>
    <n v="1"/>
    <n v="1"/>
    <s v="-"/>
    <x v="184"/>
    <s v="-"/>
    <x v="184"/>
    <x v="90"/>
  </r>
  <r>
    <x v="185"/>
    <x v="91"/>
    <x v="0"/>
    <n v="1"/>
    <n v="1"/>
    <s v="-"/>
    <x v="185"/>
    <s v="-"/>
    <x v="185"/>
    <x v="91"/>
  </r>
  <r>
    <x v="186"/>
    <x v="92"/>
    <x v="0"/>
    <n v="1"/>
    <n v="5"/>
    <s v="-"/>
    <x v="186"/>
    <s v="-"/>
    <x v="186"/>
    <x v="92"/>
  </r>
  <r>
    <x v="187"/>
    <x v="92"/>
    <x v="0"/>
    <n v="2"/>
    <n v="5"/>
    <s v="-"/>
    <x v="187"/>
    <s v="-"/>
    <x v="187"/>
    <x v="92"/>
  </r>
  <r>
    <x v="188"/>
    <x v="92"/>
    <x v="0"/>
    <n v="3"/>
    <n v="5"/>
    <s v="-"/>
    <x v="188"/>
    <s v="-"/>
    <x v="188"/>
    <x v="92"/>
  </r>
  <r>
    <x v="189"/>
    <x v="92"/>
    <x v="0"/>
    <n v="4"/>
    <n v="5"/>
    <s v="-"/>
    <x v="189"/>
    <s v="-"/>
    <x v="189"/>
    <x v="92"/>
  </r>
  <r>
    <x v="190"/>
    <x v="92"/>
    <x v="0"/>
    <n v="5"/>
    <n v="5"/>
    <s v="-"/>
    <x v="190"/>
    <s v="-"/>
    <x v="190"/>
    <x v="92"/>
  </r>
  <r>
    <x v="191"/>
    <x v="93"/>
    <x v="0"/>
    <n v="1"/>
    <n v="1"/>
    <s v="-"/>
    <x v="191"/>
    <s v="-"/>
    <x v="191"/>
    <x v="93"/>
  </r>
  <r>
    <x v="192"/>
    <x v="94"/>
    <x v="0"/>
    <n v="1"/>
    <n v="2"/>
    <s v="-"/>
    <x v="192"/>
    <s v="-"/>
    <x v="192"/>
    <x v="94"/>
  </r>
  <r>
    <x v="193"/>
    <x v="94"/>
    <x v="0"/>
    <n v="2"/>
    <n v="2"/>
    <s v="-"/>
    <x v="193"/>
    <s v="-"/>
    <x v="193"/>
    <x v="94"/>
  </r>
  <r>
    <x v="194"/>
    <x v="95"/>
    <x v="0"/>
    <n v="1"/>
    <n v="1"/>
    <s v="-"/>
    <x v="194"/>
    <s v="-"/>
    <x v="194"/>
    <x v="95"/>
  </r>
  <r>
    <x v="195"/>
    <x v="96"/>
    <x v="0"/>
    <n v="1"/>
    <n v="1"/>
    <s v="-"/>
    <x v="195"/>
    <s v="-"/>
    <x v="195"/>
    <x v="96"/>
  </r>
  <r>
    <x v="196"/>
    <x v="97"/>
    <x v="0"/>
    <n v="1"/>
    <n v="1"/>
    <s v="-"/>
    <x v="196"/>
    <s v="-"/>
    <x v="196"/>
    <x v="97"/>
  </r>
  <r>
    <x v="197"/>
    <x v="98"/>
    <x v="0"/>
    <n v="1"/>
    <n v="2"/>
    <s v="-"/>
    <x v="197"/>
    <s v="-"/>
    <x v="197"/>
    <x v="98"/>
  </r>
  <r>
    <x v="198"/>
    <x v="98"/>
    <x v="0"/>
    <n v="2"/>
    <n v="2"/>
    <s v="-"/>
    <x v="198"/>
    <s v="-"/>
    <x v="198"/>
    <x v="98"/>
  </r>
  <r>
    <x v="199"/>
    <x v="99"/>
    <x v="0"/>
    <n v="1"/>
    <n v="1"/>
    <s v="-"/>
    <x v="199"/>
    <s v="-"/>
    <x v="199"/>
    <x v="99"/>
  </r>
  <r>
    <x v="200"/>
    <x v="100"/>
    <x v="0"/>
    <n v="1"/>
    <n v="1"/>
    <s v="-"/>
    <x v="200"/>
    <s v="-"/>
    <x v="200"/>
    <x v="100"/>
  </r>
  <r>
    <x v="201"/>
    <x v="101"/>
    <x v="0"/>
    <n v="1"/>
    <n v="4"/>
    <s v="-"/>
    <x v="201"/>
    <s v="-"/>
    <x v="201"/>
    <x v="101"/>
  </r>
  <r>
    <x v="202"/>
    <x v="101"/>
    <x v="0"/>
    <n v="2"/>
    <n v="4"/>
    <s v="-"/>
    <x v="202"/>
    <s v="-"/>
    <x v="202"/>
    <x v="101"/>
  </r>
  <r>
    <x v="203"/>
    <x v="101"/>
    <x v="0"/>
    <n v="3"/>
    <n v="4"/>
    <s v="-"/>
    <x v="203"/>
    <s v="-"/>
    <x v="203"/>
    <x v="101"/>
  </r>
  <r>
    <x v="204"/>
    <x v="101"/>
    <x v="0"/>
    <n v="4"/>
    <n v="4"/>
    <s v="-"/>
    <x v="204"/>
    <s v="-"/>
    <x v="204"/>
    <x v="101"/>
  </r>
  <r>
    <x v="205"/>
    <x v="102"/>
    <x v="0"/>
    <n v="1"/>
    <n v="2"/>
    <s v="-"/>
    <x v="205"/>
    <s v="-"/>
    <x v="205"/>
    <x v="102"/>
  </r>
  <r>
    <x v="206"/>
    <x v="102"/>
    <x v="0"/>
    <n v="2"/>
    <n v="2"/>
    <s v="-"/>
    <x v="206"/>
    <s v="-"/>
    <x v="206"/>
    <x v="102"/>
  </r>
  <r>
    <x v="207"/>
    <x v="103"/>
    <x v="0"/>
    <n v="1"/>
    <n v="1"/>
    <s v="-"/>
    <x v="207"/>
    <s v="-"/>
    <x v="207"/>
    <x v="103"/>
  </r>
  <r>
    <x v="208"/>
    <x v="104"/>
    <x v="0"/>
    <n v="1"/>
    <n v="1"/>
    <s v="-"/>
    <x v="208"/>
    <s v="-"/>
    <x v="208"/>
    <x v="104"/>
  </r>
  <r>
    <x v="209"/>
    <x v="105"/>
    <x v="0"/>
    <n v="1"/>
    <n v="7"/>
    <s v="-"/>
    <x v="209"/>
    <s v="-"/>
    <x v="209"/>
    <x v="105"/>
  </r>
  <r>
    <x v="210"/>
    <x v="105"/>
    <x v="0"/>
    <n v="2"/>
    <n v="7"/>
    <s v="-"/>
    <x v="210"/>
    <s v="-"/>
    <x v="210"/>
    <x v="105"/>
  </r>
  <r>
    <x v="211"/>
    <x v="105"/>
    <x v="0"/>
    <n v="3"/>
    <n v="7"/>
    <s v="-"/>
    <x v="211"/>
    <s v="-"/>
    <x v="211"/>
    <x v="105"/>
  </r>
  <r>
    <x v="212"/>
    <x v="105"/>
    <x v="0"/>
    <n v="4"/>
    <n v="7"/>
    <s v="-"/>
    <x v="212"/>
    <s v="-"/>
    <x v="212"/>
    <x v="105"/>
  </r>
  <r>
    <x v="213"/>
    <x v="105"/>
    <x v="0"/>
    <n v="5"/>
    <n v="7"/>
    <s v="-"/>
    <x v="213"/>
    <s v="-"/>
    <x v="213"/>
    <x v="105"/>
  </r>
  <r>
    <x v="214"/>
    <x v="105"/>
    <x v="0"/>
    <n v="6"/>
    <n v="7"/>
    <s v="-"/>
    <x v="214"/>
    <s v="-"/>
    <x v="214"/>
    <x v="105"/>
  </r>
  <r>
    <x v="215"/>
    <x v="105"/>
    <x v="0"/>
    <n v="7"/>
    <n v="7"/>
    <s v="-"/>
    <x v="215"/>
    <s v="-"/>
    <x v="215"/>
    <x v="105"/>
  </r>
  <r>
    <x v="216"/>
    <x v="106"/>
    <x v="0"/>
    <n v="1"/>
    <n v="1"/>
    <s v="-"/>
    <x v="216"/>
    <s v="-"/>
    <x v="216"/>
    <x v="106"/>
  </r>
  <r>
    <x v="217"/>
    <x v="107"/>
    <x v="0"/>
    <n v="1"/>
    <n v="4"/>
    <s v="-"/>
    <x v="217"/>
    <s v="-"/>
    <x v="217"/>
    <x v="107"/>
  </r>
  <r>
    <x v="218"/>
    <x v="107"/>
    <x v="0"/>
    <n v="2"/>
    <n v="4"/>
    <s v="-"/>
    <x v="218"/>
    <s v="-"/>
    <x v="218"/>
    <x v="107"/>
  </r>
  <r>
    <x v="219"/>
    <x v="107"/>
    <x v="0"/>
    <n v="3"/>
    <n v="4"/>
    <s v="-"/>
    <x v="219"/>
    <s v="-"/>
    <x v="219"/>
    <x v="107"/>
  </r>
  <r>
    <x v="220"/>
    <x v="107"/>
    <x v="0"/>
    <n v="4"/>
    <n v="4"/>
    <s v="-"/>
    <x v="220"/>
    <s v="-"/>
    <x v="220"/>
    <x v="107"/>
  </r>
  <r>
    <x v="221"/>
    <x v="108"/>
    <x v="0"/>
    <n v="1"/>
    <n v="2"/>
    <s v="-"/>
    <x v="221"/>
    <s v="-"/>
    <x v="221"/>
    <x v="108"/>
  </r>
  <r>
    <x v="222"/>
    <x v="108"/>
    <x v="0"/>
    <n v="2"/>
    <n v="2"/>
    <s v="-"/>
    <x v="222"/>
    <s v="-"/>
    <x v="222"/>
    <x v="108"/>
  </r>
  <r>
    <x v="223"/>
    <x v="109"/>
    <x v="0"/>
    <n v="1"/>
    <n v="2"/>
    <s v="-"/>
    <x v="223"/>
    <s v="-"/>
    <x v="223"/>
    <x v="109"/>
  </r>
  <r>
    <x v="224"/>
    <x v="109"/>
    <x v="0"/>
    <n v="2"/>
    <n v="2"/>
    <s v="-"/>
    <x v="224"/>
    <s v="-"/>
    <x v="224"/>
    <x v="109"/>
  </r>
  <r>
    <x v="225"/>
    <x v="110"/>
    <x v="0"/>
    <n v="1"/>
    <n v="1"/>
    <s v="-"/>
    <x v="225"/>
    <s v="-"/>
    <x v="225"/>
    <x v="110"/>
  </r>
  <r>
    <x v="226"/>
    <x v="111"/>
    <x v="0"/>
    <n v="1"/>
    <n v="1"/>
    <s v="-"/>
    <x v="226"/>
    <s v="-"/>
    <x v="226"/>
    <x v="111"/>
  </r>
  <r>
    <x v="227"/>
    <x v="112"/>
    <x v="0"/>
    <n v="1"/>
    <n v="2"/>
    <s v="-"/>
    <x v="227"/>
    <s v="-"/>
    <x v="227"/>
    <x v="112"/>
  </r>
  <r>
    <x v="228"/>
    <x v="112"/>
    <x v="0"/>
    <n v="2"/>
    <n v="2"/>
    <s v="-"/>
    <x v="228"/>
    <s v="-"/>
    <x v="228"/>
    <x v="112"/>
  </r>
  <r>
    <x v="229"/>
    <x v="113"/>
    <x v="0"/>
    <n v="1"/>
    <n v="1"/>
    <s v="-"/>
    <x v="229"/>
    <s v="-"/>
    <x v="229"/>
    <x v="113"/>
  </r>
  <r>
    <x v="230"/>
    <x v="114"/>
    <x v="0"/>
    <n v="1"/>
    <n v="1"/>
    <s v="-"/>
    <x v="230"/>
    <s v="-"/>
    <x v="230"/>
    <x v="114"/>
  </r>
  <r>
    <x v="231"/>
    <x v="115"/>
    <x v="0"/>
    <n v="1"/>
    <n v="1"/>
    <s v="-"/>
    <x v="231"/>
    <s v="-"/>
    <x v="231"/>
    <x v="115"/>
  </r>
  <r>
    <x v="232"/>
    <x v="116"/>
    <x v="0"/>
    <n v="1"/>
    <n v="1"/>
    <s v="-"/>
    <x v="232"/>
    <s v="-"/>
    <x v="232"/>
    <x v="116"/>
  </r>
  <r>
    <x v="233"/>
    <x v="117"/>
    <x v="0"/>
    <n v="1"/>
    <n v="1"/>
    <s v="-"/>
    <x v="233"/>
    <s v="-"/>
    <x v="233"/>
    <x v="117"/>
  </r>
  <r>
    <x v="234"/>
    <x v="118"/>
    <x v="0"/>
    <n v="1"/>
    <n v="1"/>
    <s v="-"/>
    <x v="234"/>
    <s v="-"/>
    <x v="234"/>
    <x v="118"/>
  </r>
  <r>
    <x v="235"/>
    <x v="119"/>
    <x v="0"/>
    <n v="1"/>
    <n v="1"/>
    <s v="-"/>
    <x v="235"/>
    <s v="-"/>
    <x v="235"/>
    <x v="119"/>
  </r>
  <r>
    <x v="236"/>
    <x v="120"/>
    <x v="0"/>
    <n v="1"/>
    <n v="1"/>
    <s v="-"/>
    <x v="236"/>
    <s v="-"/>
    <x v="236"/>
    <x v="120"/>
  </r>
  <r>
    <x v="237"/>
    <x v="121"/>
    <x v="0"/>
    <n v="1"/>
    <n v="3"/>
    <s v="-"/>
    <x v="237"/>
    <s v="-"/>
    <x v="237"/>
    <x v="121"/>
  </r>
  <r>
    <x v="238"/>
    <x v="121"/>
    <x v="0"/>
    <n v="2"/>
    <n v="3"/>
    <s v="-"/>
    <x v="238"/>
    <s v="-"/>
    <x v="238"/>
    <x v="121"/>
  </r>
  <r>
    <x v="239"/>
    <x v="121"/>
    <x v="0"/>
    <n v="3"/>
    <n v="3"/>
    <s v="-"/>
    <x v="239"/>
    <s v="-"/>
    <x v="239"/>
    <x v="121"/>
  </r>
  <r>
    <x v="240"/>
    <x v="122"/>
    <x v="0"/>
    <n v="1"/>
    <n v="1"/>
    <s v="-"/>
    <x v="240"/>
    <s v="-"/>
    <x v="240"/>
    <x v="122"/>
  </r>
  <r>
    <x v="241"/>
    <x v="123"/>
    <x v="0"/>
    <n v="1"/>
    <n v="1"/>
    <s v="-"/>
    <x v="241"/>
    <s v="-"/>
    <x v="241"/>
    <x v="123"/>
  </r>
  <r>
    <x v="242"/>
    <x v="124"/>
    <x v="0"/>
    <n v="1"/>
    <n v="1"/>
    <s v="-"/>
    <x v="242"/>
    <s v="-"/>
    <x v="242"/>
    <x v="124"/>
  </r>
  <r>
    <x v="243"/>
    <x v="125"/>
    <x v="0"/>
    <n v="1"/>
    <n v="1"/>
    <s v="-"/>
    <x v="243"/>
    <s v="-"/>
    <x v="243"/>
    <x v="125"/>
  </r>
  <r>
    <x v="244"/>
    <x v="126"/>
    <x v="0"/>
    <n v="1"/>
    <n v="1"/>
    <s v="-"/>
    <x v="244"/>
    <s v="-"/>
    <x v="244"/>
    <x v="126"/>
  </r>
  <r>
    <x v="245"/>
    <x v="127"/>
    <x v="0"/>
    <n v="1"/>
    <n v="1"/>
    <s v="-"/>
    <x v="245"/>
    <s v="-"/>
    <x v="245"/>
    <x v="127"/>
  </r>
  <r>
    <x v="246"/>
    <x v="128"/>
    <x v="0"/>
    <n v="1"/>
    <n v="1"/>
    <s v="-"/>
    <x v="246"/>
    <s v="-"/>
    <x v="246"/>
    <x v="128"/>
  </r>
  <r>
    <x v="247"/>
    <x v="129"/>
    <x v="0"/>
    <n v="1"/>
    <n v="2"/>
    <s v="-"/>
    <x v="247"/>
    <s v="-"/>
    <x v="247"/>
    <x v="129"/>
  </r>
  <r>
    <x v="248"/>
    <x v="129"/>
    <x v="0"/>
    <n v="2"/>
    <n v="2"/>
    <s v="-"/>
    <x v="248"/>
    <s v="-"/>
    <x v="248"/>
    <x v="129"/>
  </r>
  <r>
    <x v="249"/>
    <x v="130"/>
    <x v="0"/>
    <n v="1"/>
    <n v="1"/>
    <s v="-"/>
    <x v="249"/>
    <s v="-"/>
    <x v="249"/>
    <x v="130"/>
  </r>
  <r>
    <x v="250"/>
    <x v="131"/>
    <x v="0"/>
    <n v="1"/>
    <n v="2"/>
    <s v="-"/>
    <x v="250"/>
    <s v="-"/>
    <x v="250"/>
    <x v="131"/>
  </r>
  <r>
    <x v="251"/>
    <x v="131"/>
    <x v="0"/>
    <n v="2"/>
    <n v="2"/>
    <s v="-"/>
    <x v="251"/>
    <s v="-"/>
    <x v="251"/>
    <x v="131"/>
  </r>
  <r>
    <x v="252"/>
    <x v="132"/>
    <x v="0"/>
    <n v="1"/>
    <n v="1"/>
    <s v="-"/>
    <x v="252"/>
    <s v="-"/>
    <x v="252"/>
    <x v="132"/>
  </r>
  <r>
    <x v="253"/>
    <x v="133"/>
    <x v="0"/>
    <n v="1"/>
    <n v="2"/>
    <s v="-"/>
    <x v="253"/>
    <s v="-"/>
    <x v="253"/>
    <x v="133"/>
  </r>
  <r>
    <x v="254"/>
    <x v="133"/>
    <x v="0"/>
    <n v="2"/>
    <n v="2"/>
    <s v="-"/>
    <x v="254"/>
    <s v="-"/>
    <x v="254"/>
    <x v="133"/>
  </r>
  <r>
    <x v="255"/>
    <x v="134"/>
    <x v="0"/>
    <n v="1"/>
    <n v="1"/>
    <s v="-"/>
    <x v="255"/>
    <s v="-"/>
    <x v="255"/>
    <x v="134"/>
  </r>
  <r>
    <x v="256"/>
    <x v="135"/>
    <x v="0"/>
    <n v="1"/>
    <n v="1"/>
    <s v="-"/>
    <x v="256"/>
    <s v="-"/>
    <x v="256"/>
    <x v="135"/>
  </r>
  <r>
    <x v="257"/>
    <x v="136"/>
    <x v="0"/>
    <n v="1"/>
    <n v="1"/>
    <s v="-"/>
    <x v="257"/>
    <s v="-"/>
    <x v="257"/>
    <x v="136"/>
  </r>
  <r>
    <x v="258"/>
    <x v="137"/>
    <x v="0"/>
    <n v="1"/>
    <n v="1"/>
    <s v="-"/>
    <x v="258"/>
    <s v="-"/>
    <x v="258"/>
    <x v="137"/>
  </r>
  <r>
    <x v="259"/>
    <x v="138"/>
    <x v="0"/>
    <n v="1"/>
    <n v="1"/>
    <s v="-"/>
    <x v="259"/>
    <s v="-"/>
    <x v="259"/>
    <x v="138"/>
  </r>
  <r>
    <x v="260"/>
    <x v="139"/>
    <x v="0"/>
    <n v="1"/>
    <n v="1"/>
    <s v="-"/>
    <x v="260"/>
    <s v="-"/>
    <x v="260"/>
    <x v="139"/>
  </r>
  <r>
    <x v="261"/>
    <x v="140"/>
    <x v="0"/>
    <n v="1"/>
    <n v="1"/>
    <s v="-"/>
    <x v="261"/>
    <s v="-"/>
    <x v="261"/>
    <x v="140"/>
  </r>
  <r>
    <x v="262"/>
    <x v="141"/>
    <x v="0"/>
    <n v="1"/>
    <n v="1"/>
    <s v="-"/>
    <x v="262"/>
    <s v="-"/>
    <x v="262"/>
    <x v="141"/>
  </r>
  <r>
    <x v="263"/>
    <x v="142"/>
    <x v="0"/>
    <n v="1"/>
    <n v="1"/>
    <s v="-"/>
    <x v="263"/>
    <s v="-"/>
    <x v="263"/>
    <x v="142"/>
  </r>
  <r>
    <x v="264"/>
    <x v="143"/>
    <x v="0"/>
    <n v="1"/>
    <n v="2"/>
    <s v="-"/>
    <x v="264"/>
    <s v="-"/>
    <x v="264"/>
    <x v="143"/>
  </r>
  <r>
    <x v="265"/>
    <x v="143"/>
    <x v="0"/>
    <n v="2"/>
    <n v="2"/>
    <s v="-"/>
    <x v="265"/>
    <s v="-"/>
    <x v="265"/>
    <x v="143"/>
  </r>
  <r>
    <x v="266"/>
    <x v="144"/>
    <x v="0"/>
    <n v="1"/>
    <n v="1"/>
    <s v="-"/>
    <x v="266"/>
    <s v="-"/>
    <x v="266"/>
    <x v="144"/>
  </r>
  <r>
    <x v="267"/>
    <x v="145"/>
    <x v="0"/>
    <n v="1"/>
    <n v="1"/>
    <s v="-"/>
    <x v="267"/>
    <s v="-"/>
    <x v="267"/>
    <x v="145"/>
  </r>
  <r>
    <x v="268"/>
    <x v="146"/>
    <x v="0"/>
    <n v="1"/>
    <n v="1"/>
    <s v="-"/>
    <x v="268"/>
    <s v="-"/>
    <x v="268"/>
    <x v="146"/>
  </r>
  <r>
    <x v="269"/>
    <x v="147"/>
    <x v="0"/>
    <n v="1"/>
    <n v="1"/>
    <s v="-"/>
    <x v="269"/>
    <s v="-"/>
    <x v="269"/>
    <x v="147"/>
  </r>
  <r>
    <x v="270"/>
    <x v="148"/>
    <x v="0"/>
    <n v="1"/>
    <n v="1"/>
    <s v="-"/>
    <x v="270"/>
    <s v="-"/>
    <x v="270"/>
    <x v="148"/>
  </r>
  <r>
    <x v="271"/>
    <x v="149"/>
    <x v="0"/>
    <n v="1"/>
    <n v="1"/>
    <s v="-"/>
    <x v="271"/>
    <s v="-"/>
    <x v="271"/>
    <x v="149"/>
  </r>
  <r>
    <x v="272"/>
    <x v="150"/>
    <x v="0"/>
    <n v="1"/>
    <n v="1"/>
    <s v="-"/>
    <x v="272"/>
    <s v="-"/>
    <x v="272"/>
    <x v="150"/>
  </r>
  <r>
    <x v="273"/>
    <x v="151"/>
    <x v="0"/>
    <n v="1"/>
    <n v="1"/>
    <s v="-"/>
    <x v="273"/>
    <s v="-"/>
    <x v="273"/>
    <x v="151"/>
  </r>
  <r>
    <x v="274"/>
    <x v="152"/>
    <x v="0"/>
    <n v="1"/>
    <n v="1"/>
    <s v="-"/>
    <x v="274"/>
    <s v="-"/>
    <x v="274"/>
    <x v="152"/>
  </r>
  <r>
    <x v="275"/>
    <x v="153"/>
    <x v="0"/>
    <n v="1"/>
    <n v="1"/>
    <s v="-"/>
    <x v="275"/>
    <s v="-"/>
    <x v="275"/>
    <x v="153"/>
  </r>
  <r>
    <x v="276"/>
    <x v="154"/>
    <x v="0"/>
    <n v="1"/>
    <n v="1"/>
    <s v="-"/>
    <x v="276"/>
    <s v="-"/>
    <x v="276"/>
    <x v="154"/>
  </r>
  <r>
    <x v="277"/>
    <x v="155"/>
    <x v="0"/>
    <n v="1"/>
    <n v="1"/>
    <s v="-"/>
    <x v="277"/>
    <s v="-"/>
    <x v="277"/>
    <x v="155"/>
  </r>
  <r>
    <x v="278"/>
    <x v="156"/>
    <x v="0"/>
    <n v="1"/>
    <n v="1"/>
    <s v="-"/>
    <x v="278"/>
    <s v="-"/>
    <x v="278"/>
    <x v="156"/>
  </r>
  <r>
    <x v="279"/>
    <x v="157"/>
    <x v="0"/>
    <n v="1"/>
    <n v="1"/>
    <s v="-"/>
    <x v="279"/>
    <s v="-"/>
    <x v="279"/>
    <x v="157"/>
  </r>
  <r>
    <x v="280"/>
    <x v="158"/>
    <x v="0"/>
    <n v="1"/>
    <n v="1"/>
    <s v="-"/>
    <x v="280"/>
    <s v="-"/>
    <x v="280"/>
    <x v="158"/>
  </r>
  <r>
    <x v="281"/>
    <x v="159"/>
    <x v="0"/>
    <n v="1"/>
    <n v="1"/>
    <s v="-"/>
    <x v="281"/>
    <s v="-"/>
    <x v="281"/>
    <x v="159"/>
  </r>
  <r>
    <x v="282"/>
    <x v="160"/>
    <x v="0"/>
    <n v="1"/>
    <n v="1"/>
    <s v="-"/>
    <x v="282"/>
    <s v="-"/>
    <x v="282"/>
    <x v="160"/>
  </r>
  <r>
    <x v="283"/>
    <x v="161"/>
    <x v="0"/>
    <n v="1"/>
    <n v="1"/>
    <s v="-"/>
    <x v="283"/>
    <s v="-"/>
    <x v="283"/>
    <x v="161"/>
  </r>
  <r>
    <x v="284"/>
    <x v="162"/>
    <x v="0"/>
    <n v="1"/>
    <n v="1"/>
    <s v="-"/>
    <x v="284"/>
    <s v="-"/>
    <x v="284"/>
    <x v="162"/>
  </r>
  <r>
    <x v="285"/>
    <x v="163"/>
    <x v="0"/>
    <n v="1"/>
    <n v="1"/>
    <s v="-"/>
    <x v="285"/>
    <s v="-"/>
    <x v="285"/>
    <x v="163"/>
  </r>
  <r>
    <x v="286"/>
    <x v="164"/>
    <x v="0"/>
    <n v="1"/>
    <n v="1"/>
    <s v="-"/>
    <x v="286"/>
    <s v="-"/>
    <x v="286"/>
    <x v="164"/>
  </r>
  <r>
    <x v="287"/>
    <x v="165"/>
    <x v="0"/>
    <n v="1"/>
    <n v="1"/>
    <s v="-"/>
    <x v="287"/>
    <s v="-"/>
    <x v="287"/>
    <x v="165"/>
  </r>
  <r>
    <x v="288"/>
    <x v="166"/>
    <x v="0"/>
    <n v="1"/>
    <n v="1"/>
    <s v="-"/>
    <x v="288"/>
    <s v="-"/>
    <x v="288"/>
    <x v="166"/>
  </r>
  <r>
    <x v="289"/>
    <x v="167"/>
    <x v="0"/>
    <n v="1"/>
    <n v="1"/>
    <s v="-"/>
    <x v="289"/>
    <s v="-"/>
    <x v="289"/>
    <x v="167"/>
  </r>
  <r>
    <x v="290"/>
    <x v="168"/>
    <x v="0"/>
    <n v="1"/>
    <n v="1"/>
    <s v="-"/>
    <x v="290"/>
    <s v="-"/>
    <x v="290"/>
    <x v="168"/>
  </r>
  <r>
    <x v="291"/>
    <x v="169"/>
    <x v="0"/>
    <n v="1"/>
    <n v="1"/>
    <s v="-"/>
    <x v="291"/>
    <s v="-"/>
    <x v="291"/>
    <x v="169"/>
  </r>
  <r>
    <x v="292"/>
    <x v="170"/>
    <x v="0"/>
    <n v="1"/>
    <n v="1"/>
    <s v="-"/>
    <x v="292"/>
    <s v="-"/>
    <x v="292"/>
    <x v="170"/>
  </r>
  <r>
    <x v="293"/>
    <x v="171"/>
    <x v="0"/>
    <n v="1"/>
    <n v="1"/>
    <s v="-"/>
    <x v="293"/>
    <s v="-"/>
    <x v="293"/>
    <x v="171"/>
  </r>
  <r>
    <x v="294"/>
    <x v="172"/>
    <x v="0"/>
    <n v="1"/>
    <n v="1"/>
    <s v="-"/>
    <x v="294"/>
    <s v="-"/>
    <x v="294"/>
    <x v="172"/>
  </r>
  <r>
    <x v="295"/>
    <x v="173"/>
    <x v="0"/>
    <n v="1"/>
    <n v="1"/>
    <s v="-"/>
    <x v="295"/>
    <s v="-"/>
    <x v="295"/>
    <x v="173"/>
  </r>
  <r>
    <x v="296"/>
    <x v="174"/>
    <x v="1"/>
    <n v="1"/>
    <n v="2"/>
    <s v="-"/>
    <x v="296"/>
    <s v="-"/>
    <x v="296"/>
    <x v="174"/>
  </r>
  <r>
    <x v="297"/>
    <x v="174"/>
    <x v="1"/>
    <n v="2"/>
    <n v="2"/>
    <s v="-"/>
    <x v="297"/>
    <s v="-"/>
    <x v="297"/>
    <x v="174"/>
  </r>
  <r>
    <x v="298"/>
    <x v="175"/>
    <x v="0"/>
    <n v="1"/>
    <n v="1"/>
    <s v="-"/>
    <x v="298"/>
    <s v="-"/>
    <x v="298"/>
    <x v="175"/>
  </r>
  <r>
    <x v="299"/>
    <x v="176"/>
    <x v="0"/>
    <n v="1"/>
    <n v="1"/>
    <s v="-"/>
    <x v="299"/>
    <s v="-"/>
    <x v="299"/>
    <x v="176"/>
  </r>
  <r>
    <x v="300"/>
    <x v="177"/>
    <x v="0"/>
    <n v="1"/>
    <n v="2"/>
    <s v="-"/>
    <x v="300"/>
    <s v="-"/>
    <x v="300"/>
    <x v="177"/>
  </r>
  <r>
    <x v="301"/>
    <x v="177"/>
    <x v="0"/>
    <n v="2"/>
    <n v="2"/>
    <s v="-"/>
    <x v="301"/>
    <s v="-"/>
    <x v="301"/>
    <x v="177"/>
  </r>
  <r>
    <x v="302"/>
    <x v="178"/>
    <x v="0"/>
    <n v="1"/>
    <n v="2"/>
    <s v="-"/>
    <x v="302"/>
    <s v="-"/>
    <x v="302"/>
    <x v="178"/>
  </r>
  <r>
    <x v="303"/>
    <x v="178"/>
    <x v="0"/>
    <n v="2"/>
    <n v="2"/>
    <s v="-"/>
    <x v="303"/>
    <s v="-"/>
    <x v="303"/>
    <x v="178"/>
  </r>
  <r>
    <x v="304"/>
    <x v="179"/>
    <x v="0"/>
    <n v="1"/>
    <n v="1"/>
    <s v="-"/>
    <x v="304"/>
    <s v="-"/>
    <x v="304"/>
    <x v="179"/>
  </r>
  <r>
    <x v="305"/>
    <x v="180"/>
    <x v="0"/>
    <n v="1"/>
    <n v="2"/>
    <s v="-"/>
    <x v="305"/>
    <s v="-"/>
    <x v="305"/>
    <x v="180"/>
  </r>
  <r>
    <x v="306"/>
    <x v="180"/>
    <x v="0"/>
    <n v="2"/>
    <n v="2"/>
    <s v="-"/>
    <x v="306"/>
    <s v="-"/>
    <x v="306"/>
    <x v="180"/>
  </r>
  <r>
    <x v="307"/>
    <x v="181"/>
    <x v="0"/>
    <n v="1"/>
    <n v="5"/>
    <s v="-"/>
    <x v="307"/>
    <s v="-"/>
    <x v="307"/>
    <x v="181"/>
  </r>
  <r>
    <x v="308"/>
    <x v="181"/>
    <x v="0"/>
    <n v="2"/>
    <n v="5"/>
    <s v="-"/>
    <x v="308"/>
    <s v="-"/>
    <x v="308"/>
    <x v="181"/>
  </r>
  <r>
    <x v="309"/>
    <x v="181"/>
    <x v="0"/>
    <n v="3"/>
    <n v="5"/>
    <s v="-"/>
    <x v="309"/>
    <s v="-"/>
    <x v="309"/>
    <x v="181"/>
  </r>
  <r>
    <x v="310"/>
    <x v="181"/>
    <x v="0"/>
    <n v="4"/>
    <n v="5"/>
    <s v="-"/>
    <x v="310"/>
    <s v="-"/>
    <x v="310"/>
    <x v="181"/>
  </r>
  <r>
    <x v="311"/>
    <x v="181"/>
    <x v="0"/>
    <n v="5"/>
    <n v="5"/>
    <s v="-"/>
    <x v="311"/>
    <s v="-"/>
    <x v="311"/>
    <x v="1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9148F-3B59-4B76-A9A4-D1C26F93D5B3}" name="樞紐分析表1" cacheId="0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multipleFieldFilters="0">
  <location ref="A3:D316" firstHeaderRow="1" firstDataRow="1" firstDataCol="4"/>
  <pivotFields count="10">
    <pivotField compact="0" outline="0" showAll="0" defaultSubtota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8"/>
        <item x="79"/>
        <item x="76"/>
        <item x="77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</items>
    </pivotField>
    <pivotField compact="0" outline="0" showAll="0" defaultSubtota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8"/>
        <item x="79"/>
        <item x="76"/>
        <item x="77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</items>
    </pivotField>
    <pivotField compact="0" outline="0" showAll="0" defaultSubtotal="0"/>
    <pivotField axis="axisRow" compact="0" outline="0" showAll="0" defaultSubtota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</items>
    </pivotField>
    <pivotField axis="axisRow" compact="0" outline="0" showAll="0" defaultSubtota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</items>
    </pivotField>
  </pivotFields>
  <rowFields count="4">
    <field x="8"/>
    <field x="6"/>
    <field x="9"/>
    <field x="2"/>
  </rowFields>
  <rowItems count="313">
    <i>
      <x/>
      <x/>
      <x/>
      <x/>
    </i>
    <i>
      <x v="1"/>
      <x v="1"/>
      <x/>
      <x/>
    </i>
    <i>
      <x v="2"/>
      <x v="2"/>
      <x/>
      <x/>
    </i>
    <i>
      <x v="3"/>
      <x v="3"/>
      <x v="1"/>
      <x/>
    </i>
    <i>
      <x v="4"/>
      <x v="4"/>
      <x v="1"/>
      <x/>
    </i>
    <i>
      <x v="5"/>
      <x v="5"/>
      <x v="1"/>
      <x/>
    </i>
    <i>
      <x v="6"/>
      <x v="6"/>
      <x v="2"/>
      <x/>
    </i>
    <i>
      <x v="7"/>
      <x v="7"/>
      <x v="2"/>
      <x/>
    </i>
    <i>
      <x v="8"/>
      <x v="8"/>
      <x v="3"/>
      <x/>
    </i>
    <i>
      <x v="9"/>
      <x v="9"/>
      <x v="3"/>
      <x/>
    </i>
    <i>
      <x v="10"/>
      <x v="10"/>
      <x v="3"/>
      <x/>
    </i>
    <i>
      <x v="11"/>
      <x v="11"/>
      <x v="4"/>
      <x/>
    </i>
    <i>
      <x v="12"/>
      <x v="12"/>
      <x v="4"/>
      <x/>
    </i>
    <i>
      <x v="13"/>
      <x v="13"/>
      <x v="5"/>
      <x/>
    </i>
    <i>
      <x v="14"/>
      <x v="14"/>
      <x v="5"/>
      <x/>
    </i>
    <i>
      <x v="15"/>
      <x v="15"/>
      <x v="5"/>
      <x/>
    </i>
    <i>
      <x v="16"/>
      <x v="16"/>
      <x v="6"/>
      <x/>
    </i>
    <i>
      <x v="17"/>
      <x v="17"/>
      <x v="6"/>
      <x/>
    </i>
    <i>
      <x v="18"/>
      <x v="18"/>
      <x v="6"/>
      <x/>
    </i>
    <i>
      <x v="19"/>
      <x v="19"/>
      <x v="7"/>
      <x/>
    </i>
    <i>
      <x v="20"/>
      <x v="20"/>
      <x v="7"/>
      <x/>
    </i>
    <i>
      <x v="21"/>
      <x v="21"/>
      <x v="7"/>
      <x/>
    </i>
    <i>
      <x v="22"/>
      <x v="22"/>
      <x v="8"/>
      <x/>
    </i>
    <i>
      <x v="23"/>
      <x v="23"/>
      <x v="8"/>
      <x/>
    </i>
    <i>
      <x v="24"/>
      <x v="24"/>
      <x v="9"/>
      <x/>
    </i>
    <i>
      <x v="25"/>
      <x v="25"/>
      <x v="9"/>
      <x/>
    </i>
    <i>
      <x v="26"/>
      <x v="26"/>
      <x v="9"/>
      <x/>
    </i>
    <i>
      <x v="27"/>
      <x v="27"/>
      <x v="9"/>
      <x/>
    </i>
    <i>
      <x v="28"/>
      <x v="28"/>
      <x v="10"/>
      <x/>
    </i>
    <i>
      <x v="29"/>
      <x v="29"/>
      <x v="10"/>
      <x/>
    </i>
    <i>
      <x v="30"/>
      <x v="30"/>
      <x v="11"/>
      <x/>
    </i>
    <i>
      <x v="31"/>
      <x v="31"/>
      <x v="11"/>
      <x/>
    </i>
    <i>
      <x v="32"/>
      <x v="32"/>
      <x v="11"/>
      <x/>
    </i>
    <i>
      <x v="33"/>
      <x v="33"/>
      <x v="12"/>
      <x/>
    </i>
    <i>
      <x v="34"/>
      <x v="34"/>
      <x v="12"/>
      <x/>
    </i>
    <i>
      <x v="35"/>
      <x v="35"/>
      <x v="13"/>
      <x/>
    </i>
    <i>
      <x v="36"/>
      <x v="36"/>
      <x v="13"/>
      <x/>
    </i>
    <i>
      <x v="37"/>
      <x v="37"/>
      <x v="14"/>
      <x/>
    </i>
    <i>
      <x v="38"/>
      <x v="38"/>
      <x v="14"/>
      <x/>
    </i>
    <i>
      <x v="39"/>
      <x v="39"/>
      <x v="14"/>
      <x/>
    </i>
    <i>
      <x v="40"/>
      <x v="40"/>
      <x v="14"/>
      <x/>
    </i>
    <i>
      <x v="41"/>
      <x v="41"/>
      <x v="14"/>
      <x/>
    </i>
    <i>
      <x v="42"/>
      <x v="42"/>
      <x v="15"/>
      <x/>
    </i>
    <i>
      <x v="43"/>
      <x v="43"/>
      <x v="15"/>
      <x/>
    </i>
    <i>
      <x v="44"/>
      <x v="44"/>
      <x v="15"/>
      <x/>
    </i>
    <i>
      <x v="45"/>
      <x v="45"/>
      <x v="15"/>
      <x/>
    </i>
    <i>
      <x v="46"/>
      <x v="46"/>
      <x v="15"/>
      <x/>
    </i>
    <i>
      <x v="47"/>
      <x v="47"/>
      <x v="16"/>
      <x/>
    </i>
    <i>
      <x v="48"/>
      <x v="48"/>
      <x v="17"/>
      <x/>
    </i>
    <i>
      <x v="49"/>
      <x v="49"/>
      <x v="18"/>
      <x/>
    </i>
    <i>
      <x v="50"/>
      <x v="50"/>
      <x v="19"/>
      <x/>
    </i>
    <i>
      <x v="51"/>
      <x v="51"/>
      <x v="20"/>
      <x/>
    </i>
    <i>
      <x v="52"/>
      <x v="52"/>
      <x v="21"/>
      <x/>
    </i>
    <i>
      <x v="53"/>
      <x v="53"/>
      <x v="22"/>
      <x/>
    </i>
    <i>
      <x v="54"/>
      <x v="54"/>
      <x v="23"/>
      <x/>
    </i>
    <i>
      <x v="55"/>
      <x v="55"/>
      <x v="24"/>
      <x/>
    </i>
    <i>
      <x v="56"/>
      <x v="56"/>
      <x v="24"/>
      <x/>
    </i>
    <i>
      <x v="57"/>
      <x v="57"/>
      <x v="24"/>
      <x/>
    </i>
    <i>
      <x v="58"/>
      <x v="58"/>
      <x v="25"/>
      <x/>
    </i>
    <i>
      <x v="59"/>
      <x v="59"/>
      <x v="25"/>
      <x/>
    </i>
    <i>
      <x v="60"/>
      <x v="60"/>
      <x v="25"/>
      <x/>
    </i>
    <i>
      <x v="61"/>
      <x v="61"/>
      <x v="26"/>
      <x/>
    </i>
    <i>
      <x v="62"/>
      <x v="62"/>
      <x v="26"/>
      <x/>
    </i>
    <i>
      <x v="63"/>
      <x v="63"/>
      <x v="27"/>
      <x/>
    </i>
    <i>
      <x v="64"/>
      <x v="64"/>
      <x v="27"/>
      <x/>
    </i>
    <i>
      <x v="65"/>
      <x v="65"/>
      <x v="27"/>
      <x/>
    </i>
    <i>
      <x v="66"/>
      <x v="66"/>
      <x v="28"/>
      <x/>
    </i>
    <i>
      <x v="67"/>
      <x v="67"/>
      <x v="29"/>
      <x/>
    </i>
    <i>
      <x v="68"/>
      <x v="68"/>
      <x v="30"/>
      <x/>
    </i>
    <i>
      <x v="69"/>
      <x v="69"/>
      <x v="31"/>
      <x/>
    </i>
    <i>
      <x v="70"/>
      <x v="70"/>
      <x v="32"/>
      <x/>
    </i>
    <i>
      <x v="71"/>
      <x v="71"/>
      <x v="32"/>
      <x/>
    </i>
    <i>
      <x v="72"/>
      <x v="72"/>
      <x v="33"/>
      <x/>
    </i>
    <i>
      <x v="73"/>
      <x v="73"/>
      <x v="33"/>
      <x/>
    </i>
    <i>
      <x v="74"/>
      <x v="74"/>
      <x v="34"/>
      <x/>
    </i>
    <i>
      <x v="75"/>
      <x v="75"/>
      <x v="35"/>
      <x/>
    </i>
    <i>
      <x v="76"/>
      <x v="78"/>
      <x v="37"/>
      <x/>
    </i>
    <i>
      <x v="77"/>
      <x v="79"/>
      <x v="37"/>
      <x/>
    </i>
    <i>
      <x v="78"/>
      <x v="76"/>
      <x v="36"/>
      <x/>
    </i>
    <i>
      <x v="79"/>
      <x v="77"/>
      <x v="36"/>
      <x/>
    </i>
    <i>
      <x v="80"/>
      <x v="80"/>
      <x v="38"/>
      <x/>
    </i>
    <i>
      <x v="81"/>
      <x v="81"/>
      <x v="38"/>
      <x/>
    </i>
    <i>
      <x v="82"/>
      <x v="82"/>
      <x v="38"/>
      <x/>
    </i>
    <i>
      <x v="83"/>
      <x v="83"/>
      <x v="39"/>
      <x/>
    </i>
    <i>
      <x v="84"/>
      <x v="84"/>
      <x v="40"/>
      <x/>
    </i>
    <i>
      <x v="85"/>
      <x v="85"/>
      <x v="41"/>
      <x/>
    </i>
    <i>
      <x v="86"/>
      <x v="86"/>
      <x v="42"/>
      <x/>
    </i>
    <i>
      <x v="87"/>
      <x v="87"/>
      <x v="43"/>
      <x/>
    </i>
    <i>
      <x v="88"/>
      <x v="88"/>
      <x v="44"/>
      <x/>
    </i>
    <i>
      <x v="89"/>
      <x v="89"/>
      <x v="45"/>
      <x/>
    </i>
    <i>
      <x v="90"/>
      <x v="90"/>
      <x v="46"/>
      <x/>
    </i>
    <i>
      <x v="91"/>
      <x v="91"/>
      <x v="47"/>
      <x/>
    </i>
    <i>
      <x v="92"/>
      <x v="92"/>
      <x v="47"/>
      <x/>
    </i>
    <i>
      <x v="93"/>
      <x v="93"/>
      <x v="48"/>
      <x/>
    </i>
    <i>
      <x v="94"/>
      <x v="94"/>
      <x v="49"/>
      <x v="1"/>
    </i>
    <i>
      <x v="95"/>
      <x v="95"/>
      <x v="49"/>
      <x v="1"/>
    </i>
    <i>
      <x v="96"/>
      <x v="96"/>
      <x v="50"/>
      <x v="1"/>
    </i>
    <i>
      <x v="97"/>
      <x v="97"/>
      <x v="50"/>
      <x v="1"/>
    </i>
    <i>
      <x v="98"/>
      <x v="98"/>
      <x v="51"/>
      <x/>
    </i>
    <i>
      <x v="99"/>
      <x v="99"/>
      <x v="52"/>
      <x/>
    </i>
    <i>
      <x v="100"/>
      <x v="100"/>
      <x v="52"/>
      <x/>
    </i>
    <i>
      <x v="101"/>
      <x v="101"/>
      <x v="53"/>
      <x/>
    </i>
    <i>
      <x v="102"/>
      <x v="102"/>
      <x v="53"/>
      <x/>
    </i>
    <i>
      <x v="103"/>
      <x v="103"/>
      <x v="53"/>
      <x/>
    </i>
    <i>
      <x v="104"/>
      <x v="104"/>
      <x v="53"/>
      <x/>
    </i>
    <i>
      <x v="105"/>
      <x v="105"/>
      <x v="53"/>
      <x/>
    </i>
    <i>
      <x v="106"/>
      <x v="106"/>
      <x v="53"/>
      <x/>
    </i>
    <i>
      <x v="107"/>
      <x v="107"/>
      <x v="54"/>
      <x/>
    </i>
    <i>
      <x v="108"/>
      <x v="108"/>
      <x v="54"/>
      <x/>
    </i>
    <i>
      <x v="109"/>
      <x v="109"/>
      <x v="54"/>
      <x/>
    </i>
    <i>
      <x v="110"/>
      <x v="110"/>
      <x v="54"/>
      <x/>
    </i>
    <i>
      <x v="111"/>
      <x v="111"/>
      <x v="55"/>
      <x/>
    </i>
    <i>
      <x v="112"/>
      <x v="112"/>
      <x v="55"/>
      <x/>
    </i>
    <i>
      <x v="113"/>
      <x v="113"/>
      <x v="55"/>
      <x/>
    </i>
    <i>
      <x v="114"/>
      <x v="114"/>
      <x v="55"/>
      <x/>
    </i>
    <i>
      <x v="115"/>
      <x v="115"/>
      <x v="56"/>
      <x/>
    </i>
    <i>
      <x v="116"/>
      <x v="116"/>
      <x v="56"/>
      <x/>
    </i>
    <i>
      <x v="117"/>
      <x v="117"/>
      <x v="57"/>
      <x/>
    </i>
    <i>
      <x v="118"/>
      <x v="118"/>
      <x v="57"/>
      <x/>
    </i>
    <i>
      <x v="119"/>
      <x v="119"/>
      <x v="58"/>
      <x/>
    </i>
    <i>
      <x v="120"/>
      <x v="120"/>
      <x v="58"/>
      <x/>
    </i>
    <i>
      <x v="121"/>
      <x v="121"/>
      <x v="59"/>
      <x/>
    </i>
    <i>
      <x v="122"/>
      <x v="122"/>
      <x v="59"/>
      <x/>
    </i>
    <i>
      <x v="123"/>
      <x v="123"/>
      <x v="59"/>
      <x/>
    </i>
    <i>
      <x v="124"/>
      <x v="124"/>
      <x v="60"/>
      <x/>
    </i>
    <i>
      <x v="125"/>
      <x v="125"/>
      <x v="61"/>
      <x/>
    </i>
    <i>
      <x v="126"/>
      <x v="126"/>
      <x v="62"/>
      <x/>
    </i>
    <i>
      <x v="127"/>
      <x v="127"/>
      <x v="63"/>
      <x/>
    </i>
    <i>
      <x v="128"/>
      <x v="128"/>
      <x v="64"/>
      <x/>
    </i>
    <i>
      <x v="129"/>
      <x v="129"/>
      <x v="65"/>
      <x/>
    </i>
    <i>
      <x v="130"/>
      <x v="130"/>
      <x v="66"/>
      <x/>
    </i>
    <i>
      <x v="131"/>
      <x v="131"/>
      <x v="67"/>
      <x/>
    </i>
    <i>
      <x v="132"/>
      <x v="132"/>
      <x v="67"/>
      <x/>
    </i>
    <i>
      <x v="133"/>
      <x v="133"/>
      <x v="67"/>
      <x/>
    </i>
    <i>
      <x v="134"/>
      <x v="134"/>
      <x v="67"/>
      <x/>
    </i>
    <i>
      <x v="135"/>
      <x v="135"/>
      <x v="67"/>
      <x/>
    </i>
    <i>
      <x v="136"/>
      <x v="136"/>
      <x v="67"/>
      <x/>
    </i>
    <i>
      <x v="137"/>
      <x v="137"/>
      <x v="67"/>
      <x/>
    </i>
    <i>
      <x v="138"/>
      <x v="138"/>
      <x v="68"/>
      <x/>
    </i>
    <i>
      <x v="139"/>
      <x v="139"/>
      <x v="69"/>
      <x/>
    </i>
    <i>
      <x v="140"/>
      <x v="140"/>
      <x v="70"/>
      <x/>
    </i>
    <i>
      <x v="141"/>
      <x v="141"/>
      <x v="70"/>
      <x/>
    </i>
    <i>
      <x v="142"/>
      <x v="142"/>
      <x v="71"/>
      <x/>
    </i>
    <i>
      <x v="143"/>
      <x v="143"/>
      <x v="72"/>
      <x/>
    </i>
    <i>
      <x v="144"/>
      <x v="144"/>
      <x v="73"/>
      <x/>
    </i>
    <i>
      <x v="145"/>
      <x v="145"/>
      <x v="73"/>
      <x/>
    </i>
    <i>
      <x v="146"/>
      <x v="146"/>
      <x v="73"/>
      <x/>
    </i>
    <i>
      <x v="147"/>
      <x v="147"/>
      <x v="73"/>
      <x/>
    </i>
    <i>
      <x v="148"/>
      <x v="148"/>
      <x v="73"/>
      <x/>
    </i>
    <i>
      <x v="149"/>
      <x v="149"/>
      <x v="74"/>
      <x/>
    </i>
    <i>
      <x v="150"/>
      <x v="150"/>
      <x v="74"/>
      <x/>
    </i>
    <i>
      <x v="151"/>
      <x v="151"/>
      <x v="75"/>
      <x/>
    </i>
    <i>
      <x v="152"/>
      <x v="152"/>
      <x v="76"/>
      <x/>
    </i>
    <i>
      <x v="153"/>
      <x v="153"/>
      <x v="77"/>
      <x/>
    </i>
    <i>
      <x v="154"/>
      <x v="154"/>
      <x v="77"/>
      <x/>
    </i>
    <i>
      <x v="155"/>
      <x v="155"/>
      <x v="78"/>
      <x/>
    </i>
    <i>
      <x v="156"/>
      <x v="156"/>
      <x v="78"/>
      <x/>
    </i>
    <i>
      <x v="157"/>
      <x v="157"/>
      <x v="79"/>
      <x/>
    </i>
    <i>
      <x v="158"/>
      <x v="158"/>
      <x v="79"/>
      <x/>
    </i>
    <i>
      <x v="159"/>
      <x v="159"/>
      <x v="79"/>
      <x/>
    </i>
    <i>
      <x v="160"/>
      <x v="160"/>
      <x v="80"/>
      <x v="1"/>
    </i>
    <i>
      <x v="161"/>
      <x v="161"/>
      <x v="80"/>
      <x v="1"/>
    </i>
    <i>
      <x v="162"/>
      <x v="162"/>
      <x v="81"/>
      <x/>
    </i>
    <i>
      <x v="163"/>
      <x v="163"/>
      <x v="81"/>
      <x/>
    </i>
    <i>
      <x v="164"/>
      <x v="164"/>
      <x v="82"/>
      <x/>
    </i>
    <i>
      <x v="165"/>
      <x v="165"/>
      <x v="82"/>
      <x/>
    </i>
    <i>
      <x v="166"/>
      <x v="166"/>
      <x v="82"/>
      <x/>
    </i>
    <i>
      <x v="167"/>
      <x v="167"/>
      <x v="82"/>
      <x/>
    </i>
    <i>
      <x v="168"/>
      <x v="168"/>
      <x v="83"/>
      <x/>
    </i>
    <i>
      <x v="169"/>
      <x v="169"/>
      <x v="84"/>
      <x/>
    </i>
    <i>
      <x v="170"/>
      <x v="170"/>
      <x v="84"/>
      <x/>
    </i>
    <i>
      <x v="171"/>
      <x v="171"/>
      <x v="84"/>
      <x/>
    </i>
    <i>
      <x v="172"/>
      <x v="172"/>
      <x v="85"/>
      <x/>
    </i>
    <i>
      <x v="173"/>
      <x v="173"/>
      <x v="85"/>
      <x/>
    </i>
    <i>
      <x v="174"/>
      <x v="174"/>
      <x v="86"/>
      <x/>
    </i>
    <i>
      <x v="175"/>
      <x v="175"/>
      <x v="87"/>
      <x/>
    </i>
    <i>
      <x v="176"/>
      <x v="176"/>
      <x v="88"/>
      <x/>
    </i>
    <i>
      <x v="177"/>
      <x v="177"/>
      <x v="88"/>
      <x/>
    </i>
    <i>
      <x v="178"/>
      <x v="178"/>
      <x v="88"/>
      <x/>
    </i>
    <i>
      <x v="179"/>
      <x v="179"/>
      <x v="88"/>
      <x/>
    </i>
    <i>
      <x v="180"/>
      <x v="180"/>
      <x v="89"/>
      <x/>
    </i>
    <i>
      <x v="181"/>
      <x v="181"/>
      <x v="89"/>
      <x/>
    </i>
    <i>
      <x v="182"/>
      <x v="182"/>
      <x v="89"/>
      <x/>
    </i>
    <i>
      <x v="183"/>
      <x v="183"/>
      <x v="89"/>
      <x/>
    </i>
    <i>
      <x v="184"/>
      <x v="184"/>
      <x v="90"/>
      <x/>
    </i>
    <i>
      <x v="185"/>
      <x v="185"/>
      <x v="91"/>
      <x/>
    </i>
    <i>
      <x v="186"/>
      <x v="186"/>
      <x v="92"/>
      <x/>
    </i>
    <i>
      <x v="187"/>
      <x v="187"/>
      <x v="92"/>
      <x/>
    </i>
    <i>
      <x v="188"/>
      <x v="188"/>
      <x v="92"/>
      <x/>
    </i>
    <i>
      <x v="189"/>
      <x v="189"/>
      <x v="92"/>
      <x/>
    </i>
    <i>
      <x v="190"/>
      <x v="190"/>
      <x v="92"/>
      <x/>
    </i>
    <i>
      <x v="191"/>
      <x v="191"/>
      <x v="93"/>
      <x/>
    </i>
    <i>
      <x v="192"/>
      <x v="192"/>
      <x v="94"/>
      <x/>
    </i>
    <i>
      <x v="193"/>
      <x v="193"/>
      <x v="94"/>
      <x/>
    </i>
    <i>
      <x v="194"/>
      <x v="194"/>
      <x v="95"/>
      <x/>
    </i>
    <i>
      <x v="195"/>
      <x v="195"/>
      <x v="96"/>
      <x/>
    </i>
    <i>
      <x v="196"/>
      <x v="196"/>
      <x v="97"/>
      <x/>
    </i>
    <i>
      <x v="197"/>
      <x v="197"/>
      <x v="98"/>
      <x/>
    </i>
    <i>
      <x v="198"/>
      <x v="198"/>
      <x v="98"/>
      <x/>
    </i>
    <i>
      <x v="199"/>
      <x v="199"/>
      <x v="99"/>
      <x/>
    </i>
    <i>
      <x v="200"/>
      <x v="200"/>
      <x v="100"/>
      <x/>
    </i>
    <i>
      <x v="201"/>
      <x v="201"/>
      <x v="101"/>
      <x/>
    </i>
    <i>
      <x v="202"/>
      <x v="202"/>
      <x v="101"/>
      <x/>
    </i>
    <i>
      <x v="203"/>
      <x v="203"/>
      <x v="101"/>
      <x/>
    </i>
    <i>
      <x v="204"/>
      <x v="204"/>
      <x v="101"/>
      <x/>
    </i>
    <i>
      <x v="205"/>
      <x v="205"/>
      <x v="102"/>
      <x/>
    </i>
    <i>
      <x v="206"/>
      <x v="206"/>
      <x v="102"/>
      <x/>
    </i>
    <i>
      <x v="207"/>
      <x v="207"/>
      <x v="103"/>
      <x/>
    </i>
    <i>
      <x v="208"/>
      <x v="208"/>
      <x v="104"/>
      <x/>
    </i>
    <i>
      <x v="209"/>
      <x v="209"/>
      <x v="105"/>
      <x/>
    </i>
    <i>
      <x v="210"/>
      <x v="210"/>
      <x v="105"/>
      <x/>
    </i>
    <i>
      <x v="211"/>
      <x v="211"/>
      <x v="105"/>
      <x/>
    </i>
    <i>
      <x v="212"/>
      <x v="212"/>
      <x v="105"/>
      <x/>
    </i>
    <i>
      <x v="213"/>
      <x v="213"/>
      <x v="105"/>
      <x/>
    </i>
    <i>
      <x v="214"/>
      <x v="214"/>
      <x v="105"/>
      <x/>
    </i>
    <i>
      <x v="215"/>
      <x v="215"/>
      <x v="105"/>
      <x/>
    </i>
    <i>
      <x v="216"/>
      <x v="216"/>
      <x v="106"/>
      <x/>
    </i>
    <i>
      <x v="217"/>
      <x v="217"/>
      <x v="107"/>
      <x/>
    </i>
    <i>
      <x v="218"/>
      <x v="218"/>
      <x v="107"/>
      <x/>
    </i>
    <i>
      <x v="219"/>
      <x v="219"/>
      <x v="107"/>
      <x/>
    </i>
    <i>
      <x v="220"/>
      <x v="220"/>
      <x v="107"/>
      <x/>
    </i>
    <i>
      <x v="221"/>
      <x v="221"/>
      <x v="108"/>
      <x/>
    </i>
    <i>
      <x v="222"/>
      <x v="222"/>
      <x v="108"/>
      <x/>
    </i>
    <i>
      <x v="223"/>
      <x v="223"/>
      <x v="109"/>
      <x/>
    </i>
    <i>
      <x v="224"/>
      <x v="224"/>
      <x v="109"/>
      <x/>
    </i>
    <i>
      <x v="225"/>
      <x v="225"/>
      <x v="110"/>
      <x/>
    </i>
    <i>
      <x v="226"/>
      <x v="226"/>
      <x v="111"/>
      <x/>
    </i>
    <i>
      <x v="227"/>
      <x v="227"/>
      <x v="112"/>
      <x/>
    </i>
    <i>
      <x v="228"/>
      <x v="228"/>
      <x v="112"/>
      <x/>
    </i>
    <i>
      <x v="229"/>
      <x v="229"/>
      <x v="113"/>
      <x/>
    </i>
    <i>
      <x v="230"/>
      <x v="230"/>
      <x v="114"/>
      <x/>
    </i>
    <i>
      <x v="231"/>
      <x v="231"/>
      <x v="115"/>
      <x/>
    </i>
    <i>
      <x v="232"/>
      <x v="232"/>
      <x v="116"/>
      <x/>
    </i>
    <i>
      <x v="233"/>
      <x v="233"/>
      <x v="117"/>
      <x/>
    </i>
    <i>
      <x v="234"/>
      <x v="234"/>
      <x v="118"/>
      <x/>
    </i>
    <i>
      <x v="235"/>
      <x v="235"/>
      <x v="119"/>
      <x/>
    </i>
    <i>
      <x v="236"/>
      <x v="236"/>
      <x v="120"/>
      <x/>
    </i>
    <i>
      <x v="237"/>
      <x v="237"/>
      <x v="121"/>
      <x/>
    </i>
    <i>
      <x v="238"/>
      <x v="238"/>
      <x v="121"/>
      <x/>
    </i>
    <i>
      <x v="239"/>
      <x v="239"/>
      <x v="121"/>
      <x/>
    </i>
    <i>
      <x v="240"/>
      <x v="240"/>
      <x v="122"/>
      <x/>
    </i>
    <i>
      <x v="241"/>
      <x v="241"/>
      <x v="123"/>
      <x/>
    </i>
    <i>
      <x v="242"/>
      <x v="242"/>
      <x v="124"/>
      <x/>
    </i>
    <i>
      <x v="243"/>
      <x v="243"/>
      <x v="125"/>
      <x/>
    </i>
    <i>
      <x v="244"/>
      <x v="244"/>
      <x v="126"/>
      <x/>
    </i>
    <i>
      <x v="245"/>
      <x v="245"/>
      <x v="127"/>
      <x/>
    </i>
    <i>
      <x v="246"/>
      <x v="246"/>
      <x v="128"/>
      <x/>
    </i>
    <i>
      <x v="247"/>
      <x v="247"/>
      <x v="129"/>
      <x/>
    </i>
    <i>
      <x v="248"/>
      <x v="248"/>
      <x v="129"/>
      <x/>
    </i>
    <i>
      <x v="249"/>
      <x v="249"/>
      <x v="130"/>
      <x/>
    </i>
    <i>
      <x v="250"/>
      <x v="250"/>
      <x v="131"/>
      <x/>
    </i>
    <i>
      <x v="251"/>
      <x v="251"/>
      <x v="131"/>
      <x/>
    </i>
    <i>
      <x v="252"/>
      <x v="252"/>
      <x v="132"/>
      <x/>
    </i>
    <i>
      <x v="253"/>
      <x v="253"/>
      <x v="133"/>
      <x/>
    </i>
    <i>
      <x v="254"/>
      <x v="254"/>
      <x v="133"/>
      <x/>
    </i>
    <i>
      <x v="255"/>
      <x v="255"/>
      <x v="134"/>
      <x/>
    </i>
    <i>
      <x v="256"/>
      <x v="256"/>
      <x v="135"/>
      <x/>
    </i>
    <i>
      <x v="257"/>
      <x v="257"/>
      <x v="136"/>
      <x/>
    </i>
    <i>
      <x v="258"/>
      <x v="258"/>
      <x v="137"/>
      <x/>
    </i>
    <i>
      <x v="259"/>
      <x v="259"/>
      <x v="138"/>
      <x/>
    </i>
    <i>
      <x v="260"/>
      <x v="260"/>
      <x v="139"/>
      <x/>
    </i>
    <i>
      <x v="261"/>
      <x v="265"/>
      <x v="143"/>
      <x/>
    </i>
    <i>
      <x v="262"/>
      <x v="261"/>
      <x v="140"/>
      <x/>
    </i>
    <i>
      <x v="263"/>
      <x v="262"/>
      <x v="141"/>
      <x/>
    </i>
    <i>
      <x v="264"/>
      <x v="263"/>
      <x v="142"/>
      <x/>
    </i>
    <i>
      <x v="265"/>
      <x v="264"/>
      <x v="142"/>
      <x/>
    </i>
    <i>
      <x v="266"/>
      <x v="266"/>
      <x v="144"/>
      <x/>
    </i>
    <i>
      <x v="267"/>
      <x v="267"/>
      <x v="145"/>
      <x/>
    </i>
    <i>
      <x v="268"/>
      <x v="268"/>
      <x v="146"/>
      <x/>
    </i>
    <i>
      <x v="269"/>
      <x v="269"/>
      <x v="147"/>
      <x/>
    </i>
    <i>
      <x v="270"/>
      <x v="270"/>
      <x v="148"/>
      <x/>
    </i>
    <i>
      <x v="271"/>
      <x v="271"/>
      <x v="149"/>
      <x/>
    </i>
    <i>
      <x v="272"/>
      <x v="272"/>
      <x v="150"/>
      <x/>
    </i>
    <i>
      <x v="273"/>
      <x v="273"/>
      <x v="151"/>
      <x/>
    </i>
    <i>
      <x v="274"/>
      <x v="274"/>
      <x v="152"/>
      <x/>
    </i>
    <i>
      <x v="275"/>
      <x v="275"/>
      <x v="153"/>
      <x/>
    </i>
    <i>
      <x v="276"/>
      <x v="276"/>
      <x v="154"/>
      <x/>
    </i>
    <i>
      <x v="277"/>
      <x v="277"/>
      <x v="155"/>
      <x/>
    </i>
    <i>
      <x v="278"/>
      <x v="278"/>
      <x v="156"/>
      <x/>
    </i>
    <i>
      <x v="279"/>
      <x v="279"/>
      <x v="157"/>
      <x/>
    </i>
    <i>
      <x v="280"/>
      <x v="280"/>
      <x v="158"/>
      <x/>
    </i>
    <i>
      <x v="281"/>
      <x v="281"/>
      <x v="159"/>
      <x/>
    </i>
    <i>
      <x v="282"/>
      <x v="282"/>
      <x v="160"/>
      <x/>
    </i>
    <i>
      <x v="283"/>
      <x v="283"/>
      <x v="161"/>
      <x/>
    </i>
    <i>
      <x v="284"/>
      <x v="284"/>
      <x v="162"/>
      <x/>
    </i>
    <i>
      <x v="285"/>
      <x v="285"/>
      <x v="163"/>
      <x/>
    </i>
    <i>
      <x v="286"/>
      <x v="286"/>
      <x v="164"/>
      <x/>
    </i>
    <i>
      <x v="287"/>
      <x v="287"/>
      <x v="165"/>
      <x/>
    </i>
    <i>
      <x v="288"/>
      <x v="288"/>
      <x v="166"/>
      <x/>
    </i>
    <i>
      <x v="289"/>
      <x v="289"/>
      <x v="167"/>
      <x/>
    </i>
    <i>
      <x v="290"/>
      <x v="290"/>
      <x v="168"/>
      <x/>
    </i>
    <i>
      <x v="291"/>
      <x v="291"/>
      <x v="169"/>
      <x/>
    </i>
    <i>
      <x v="292"/>
      <x v="292"/>
      <x v="170"/>
      <x/>
    </i>
    <i>
      <x v="293"/>
      <x v="293"/>
      <x v="171"/>
      <x/>
    </i>
    <i>
      <x v="294"/>
      <x v="294"/>
      <x v="172"/>
      <x/>
    </i>
    <i>
      <x v="295"/>
      <x v="295"/>
      <x v="173"/>
      <x/>
    </i>
    <i>
      <x v="296"/>
      <x v="296"/>
      <x v="174"/>
      <x v="1"/>
    </i>
    <i>
      <x v="297"/>
      <x v="297"/>
      <x v="174"/>
      <x v="1"/>
    </i>
    <i>
      <x v="298"/>
      <x v="298"/>
      <x v="175"/>
      <x/>
    </i>
    <i>
      <x v="299"/>
      <x v="299"/>
      <x v="176"/>
      <x/>
    </i>
    <i>
      <x v="300"/>
      <x v="300"/>
      <x v="177"/>
      <x/>
    </i>
    <i>
      <x v="301"/>
      <x v="301"/>
      <x v="177"/>
      <x/>
    </i>
    <i>
      <x v="302"/>
      <x v="302"/>
      <x v="178"/>
      <x/>
    </i>
    <i>
      <x v="303"/>
      <x v="303"/>
      <x v="178"/>
      <x/>
    </i>
    <i>
      <x v="304"/>
      <x v="304"/>
      <x v="179"/>
      <x/>
    </i>
    <i>
      <x v="305"/>
      <x v="305"/>
      <x v="180"/>
      <x/>
    </i>
    <i>
      <x v="306"/>
      <x v="306"/>
      <x v="180"/>
      <x/>
    </i>
    <i>
      <x v="307"/>
      <x v="307"/>
      <x v="181"/>
      <x/>
    </i>
    <i>
      <x v="308"/>
      <x v="308"/>
      <x v="181"/>
      <x/>
    </i>
    <i>
      <x v="309"/>
      <x v="309"/>
      <x v="181"/>
      <x/>
    </i>
    <i>
      <x v="310"/>
      <x v="310"/>
      <x v="181"/>
      <x/>
    </i>
    <i>
      <x v="311"/>
      <x v="311"/>
      <x v="181"/>
      <x/>
    </i>
    <i t="grand">
      <x/>
    </i>
  </rowItems>
  <colItems count="1">
    <i/>
  </colItems>
  <formats count="825">
    <format dxfId="824">
      <pivotArea dataOnly="0" labelOnly="1" outline="0" fieldPosition="0">
        <references count="1">
          <reference field="8" count="0"/>
        </references>
      </pivotArea>
    </format>
    <format dxfId="823">
      <pivotArea dataOnly="0" labelOnly="1" outline="0" fieldPosition="0">
        <references count="1">
          <reference field="2" count="0"/>
        </references>
      </pivotArea>
    </format>
    <format dxfId="822">
      <pivotArea type="all" dataOnly="0" outline="0" fieldPosition="0"/>
    </format>
    <format dxfId="821">
      <pivotArea field="8" type="button" dataOnly="0" labelOnly="1" outline="0" axis="axisRow" fieldPosition="0"/>
    </format>
    <format dxfId="820">
      <pivotArea field="6" type="button" dataOnly="0" labelOnly="1" outline="0" axis="axisRow" fieldPosition="1"/>
    </format>
    <format dxfId="819">
      <pivotArea field="9" type="button" dataOnly="0" labelOnly="1" outline="0" axis="axisRow" fieldPosition="2"/>
    </format>
    <format dxfId="818">
      <pivotArea field="2" type="button" dataOnly="0" labelOnly="1" outline="0" axis="axisRow" fieldPosition="3"/>
    </format>
    <format dxfId="817">
      <pivotArea dataOnly="0" labelOnly="1" outline="0" fieldPosition="0">
        <references count="1">
          <reference field="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16">
      <pivotArea dataOnly="0" labelOnly="1" outline="0" fieldPosition="0">
        <references count="1">
          <reference field="8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15">
      <pivotArea dataOnly="0" labelOnly="1" outline="0" fieldPosition="0">
        <references count="1">
          <reference field="8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14">
      <pivotArea dataOnly="0" labelOnly="1" outline="0" fieldPosition="0">
        <references count="1">
          <reference field="8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13">
      <pivotArea dataOnly="0" labelOnly="1" outline="0" fieldPosition="0">
        <references count="1">
          <reference field="8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12">
      <pivotArea dataOnly="0" labelOnly="1" outline="0" fieldPosition="0">
        <references count="1">
          <reference field="8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11">
      <pivotArea dataOnly="0" labelOnly="1" outline="0" fieldPosition="0">
        <references count="1">
          <reference field="8" count="12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</reference>
        </references>
      </pivotArea>
    </format>
    <format dxfId="810">
      <pivotArea dataOnly="0" labelOnly="1" grandRow="1" outline="0" fieldPosition="0"/>
    </format>
    <format dxfId="809">
      <pivotArea dataOnly="0" labelOnly="1" outline="0" fieldPosition="0">
        <references count="2">
          <reference field="6" count="1">
            <x v="0"/>
          </reference>
          <reference field="8" count="1" selected="0">
            <x v="0"/>
          </reference>
        </references>
      </pivotArea>
    </format>
    <format dxfId="808">
      <pivotArea dataOnly="0" labelOnly="1" outline="0" fieldPosition="0">
        <references count="2">
          <reference field="6" count="1">
            <x v="1"/>
          </reference>
          <reference field="8" count="1" selected="0">
            <x v="1"/>
          </reference>
        </references>
      </pivotArea>
    </format>
    <format dxfId="807">
      <pivotArea dataOnly="0" labelOnly="1" outline="0" fieldPosition="0">
        <references count="2">
          <reference field="6" count="1">
            <x v="2"/>
          </reference>
          <reference field="8" count="1" selected="0">
            <x v="2"/>
          </reference>
        </references>
      </pivotArea>
    </format>
    <format dxfId="806">
      <pivotArea dataOnly="0" labelOnly="1" outline="0" fieldPosition="0">
        <references count="2">
          <reference field="6" count="1">
            <x v="3"/>
          </reference>
          <reference field="8" count="1" selected="0">
            <x v="3"/>
          </reference>
        </references>
      </pivotArea>
    </format>
    <format dxfId="805">
      <pivotArea dataOnly="0" labelOnly="1" outline="0" fieldPosition="0">
        <references count="2">
          <reference field="6" count="1">
            <x v="4"/>
          </reference>
          <reference field="8" count="1" selected="0">
            <x v="4"/>
          </reference>
        </references>
      </pivotArea>
    </format>
    <format dxfId="804">
      <pivotArea dataOnly="0" labelOnly="1" outline="0" fieldPosition="0">
        <references count="2">
          <reference field="6" count="1">
            <x v="5"/>
          </reference>
          <reference field="8" count="1" selected="0">
            <x v="5"/>
          </reference>
        </references>
      </pivotArea>
    </format>
    <format dxfId="803">
      <pivotArea dataOnly="0" labelOnly="1" outline="0" fieldPosition="0">
        <references count="2">
          <reference field="6" count="1">
            <x v="6"/>
          </reference>
          <reference field="8" count="1" selected="0">
            <x v="6"/>
          </reference>
        </references>
      </pivotArea>
    </format>
    <format dxfId="802">
      <pivotArea dataOnly="0" labelOnly="1" outline="0" fieldPosition="0">
        <references count="2">
          <reference field="6" count="1">
            <x v="7"/>
          </reference>
          <reference field="8" count="1" selected="0">
            <x v="7"/>
          </reference>
        </references>
      </pivotArea>
    </format>
    <format dxfId="801">
      <pivotArea dataOnly="0" labelOnly="1" outline="0" fieldPosition="0">
        <references count="2">
          <reference field="6" count="1">
            <x v="8"/>
          </reference>
          <reference field="8" count="1" selected="0">
            <x v="8"/>
          </reference>
        </references>
      </pivotArea>
    </format>
    <format dxfId="800">
      <pivotArea dataOnly="0" labelOnly="1" outline="0" fieldPosition="0">
        <references count="2">
          <reference field="6" count="1">
            <x v="9"/>
          </reference>
          <reference field="8" count="1" selected="0">
            <x v="9"/>
          </reference>
        </references>
      </pivotArea>
    </format>
    <format dxfId="799">
      <pivotArea dataOnly="0" labelOnly="1" outline="0" fieldPosition="0">
        <references count="2">
          <reference field="6" count="1">
            <x v="10"/>
          </reference>
          <reference field="8" count="1" selected="0">
            <x v="10"/>
          </reference>
        </references>
      </pivotArea>
    </format>
    <format dxfId="798">
      <pivotArea dataOnly="0" labelOnly="1" outline="0" fieldPosition="0">
        <references count="2">
          <reference field="6" count="1">
            <x v="11"/>
          </reference>
          <reference field="8" count="1" selected="0">
            <x v="11"/>
          </reference>
        </references>
      </pivotArea>
    </format>
    <format dxfId="797">
      <pivotArea dataOnly="0" labelOnly="1" outline="0" fieldPosition="0">
        <references count="2">
          <reference field="6" count="1">
            <x v="12"/>
          </reference>
          <reference field="8" count="1" selected="0">
            <x v="12"/>
          </reference>
        </references>
      </pivotArea>
    </format>
    <format dxfId="796">
      <pivotArea dataOnly="0" labelOnly="1" outline="0" fieldPosition="0">
        <references count="2">
          <reference field="6" count="1">
            <x v="13"/>
          </reference>
          <reference field="8" count="1" selected="0">
            <x v="13"/>
          </reference>
        </references>
      </pivotArea>
    </format>
    <format dxfId="795">
      <pivotArea dataOnly="0" labelOnly="1" outline="0" fieldPosition="0">
        <references count="2">
          <reference field="6" count="1">
            <x v="14"/>
          </reference>
          <reference field="8" count="1" selected="0">
            <x v="14"/>
          </reference>
        </references>
      </pivotArea>
    </format>
    <format dxfId="794">
      <pivotArea dataOnly="0" labelOnly="1" outline="0" fieldPosition="0">
        <references count="2">
          <reference field="6" count="1">
            <x v="15"/>
          </reference>
          <reference field="8" count="1" selected="0">
            <x v="15"/>
          </reference>
        </references>
      </pivotArea>
    </format>
    <format dxfId="793">
      <pivotArea dataOnly="0" labelOnly="1" outline="0" fieldPosition="0">
        <references count="2">
          <reference field="6" count="1">
            <x v="16"/>
          </reference>
          <reference field="8" count="1" selected="0">
            <x v="16"/>
          </reference>
        </references>
      </pivotArea>
    </format>
    <format dxfId="792">
      <pivotArea dataOnly="0" labelOnly="1" outline="0" fieldPosition="0">
        <references count="2">
          <reference field="6" count="1">
            <x v="17"/>
          </reference>
          <reference field="8" count="1" selected="0">
            <x v="17"/>
          </reference>
        </references>
      </pivotArea>
    </format>
    <format dxfId="791">
      <pivotArea dataOnly="0" labelOnly="1" outline="0" fieldPosition="0">
        <references count="2">
          <reference field="6" count="1">
            <x v="18"/>
          </reference>
          <reference field="8" count="1" selected="0">
            <x v="18"/>
          </reference>
        </references>
      </pivotArea>
    </format>
    <format dxfId="790">
      <pivotArea dataOnly="0" labelOnly="1" outline="0" fieldPosition="0">
        <references count="2">
          <reference field="6" count="1">
            <x v="19"/>
          </reference>
          <reference field="8" count="1" selected="0">
            <x v="19"/>
          </reference>
        </references>
      </pivotArea>
    </format>
    <format dxfId="789">
      <pivotArea dataOnly="0" labelOnly="1" outline="0" fieldPosition="0">
        <references count="2">
          <reference field="6" count="1">
            <x v="20"/>
          </reference>
          <reference field="8" count="1" selected="0">
            <x v="20"/>
          </reference>
        </references>
      </pivotArea>
    </format>
    <format dxfId="788">
      <pivotArea dataOnly="0" labelOnly="1" outline="0" fieldPosition="0">
        <references count="2">
          <reference field="6" count="1">
            <x v="21"/>
          </reference>
          <reference field="8" count="1" selected="0">
            <x v="21"/>
          </reference>
        </references>
      </pivotArea>
    </format>
    <format dxfId="787">
      <pivotArea dataOnly="0" labelOnly="1" outline="0" fieldPosition="0">
        <references count="2">
          <reference field="6" count="1">
            <x v="22"/>
          </reference>
          <reference field="8" count="1" selected="0">
            <x v="22"/>
          </reference>
        </references>
      </pivotArea>
    </format>
    <format dxfId="786">
      <pivotArea dataOnly="0" labelOnly="1" outline="0" fieldPosition="0">
        <references count="2">
          <reference field="6" count="1">
            <x v="23"/>
          </reference>
          <reference field="8" count="1" selected="0">
            <x v="23"/>
          </reference>
        </references>
      </pivotArea>
    </format>
    <format dxfId="785">
      <pivotArea dataOnly="0" labelOnly="1" outline="0" fieldPosition="0">
        <references count="2">
          <reference field="6" count="1">
            <x v="24"/>
          </reference>
          <reference field="8" count="1" selected="0">
            <x v="24"/>
          </reference>
        </references>
      </pivotArea>
    </format>
    <format dxfId="784">
      <pivotArea dataOnly="0" labelOnly="1" outline="0" fieldPosition="0">
        <references count="2">
          <reference field="6" count="1">
            <x v="25"/>
          </reference>
          <reference field="8" count="1" selected="0">
            <x v="25"/>
          </reference>
        </references>
      </pivotArea>
    </format>
    <format dxfId="783">
      <pivotArea dataOnly="0" labelOnly="1" outline="0" fieldPosition="0">
        <references count="2">
          <reference field="6" count="1">
            <x v="26"/>
          </reference>
          <reference field="8" count="1" selected="0">
            <x v="26"/>
          </reference>
        </references>
      </pivotArea>
    </format>
    <format dxfId="782">
      <pivotArea dataOnly="0" labelOnly="1" outline="0" fieldPosition="0">
        <references count="2">
          <reference field="6" count="1">
            <x v="27"/>
          </reference>
          <reference field="8" count="1" selected="0">
            <x v="27"/>
          </reference>
        </references>
      </pivotArea>
    </format>
    <format dxfId="781">
      <pivotArea dataOnly="0" labelOnly="1" outline="0" fieldPosition="0">
        <references count="2">
          <reference field="6" count="1">
            <x v="28"/>
          </reference>
          <reference field="8" count="1" selected="0">
            <x v="28"/>
          </reference>
        </references>
      </pivotArea>
    </format>
    <format dxfId="780">
      <pivotArea dataOnly="0" labelOnly="1" outline="0" fieldPosition="0">
        <references count="2">
          <reference field="6" count="1">
            <x v="29"/>
          </reference>
          <reference field="8" count="1" selected="0">
            <x v="29"/>
          </reference>
        </references>
      </pivotArea>
    </format>
    <format dxfId="779">
      <pivotArea dataOnly="0" labelOnly="1" outline="0" fieldPosition="0">
        <references count="2">
          <reference field="6" count="1">
            <x v="30"/>
          </reference>
          <reference field="8" count="1" selected="0">
            <x v="30"/>
          </reference>
        </references>
      </pivotArea>
    </format>
    <format dxfId="778">
      <pivotArea dataOnly="0" labelOnly="1" outline="0" fieldPosition="0">
        <references count="2">
          <reference field="6" count="1">
            <x v="31"/>
          </reference>
          <reference field="8" count="1" selected="0">
            <x v="31"/>
          </reference>
        </references>
      </pivotArea>
    </format>
    <format dxfId="777">
      <pivotArea dataOnly="0" labelOnly="1" outline="0" fieldPosition="0">
        <references count="2">
          <reference field="6" count="1">
            <x v="32"/>
          </reference>
          <reference field="8" count="1" selected="0">
            <x v="32"/>
          </reference>
        </references>
      </pivotArea>
    </format>
    <format dxfId="776">
      <pivotArea dataOnly="0" labelOnly="1" outline="0" fieldPosition="0">
        <references count="2">
          <reference field="6" count="1">
            <x v="33"/>
          </reference>
          <reference field="8" count="1" selected="0">
            <x v="33"/>
          </reference>
        </references>
      </pivotArea>
    </format>
    <format dxfId="775">
      <pivotArea dataOnly="0" labelOnly="1" outline="0" fieldPosition="0">
        <references count="2">
          <reference field="6" count="1">
            <x v="34"/>
          </reference>
          <reference field="8" count="1" selected="0">
            <x v="34"/>
          </reference>
        </references>
      </pivotArea>
    </format>
    <format dxfId="774">
      <pivotArea dataOnly="0" labelOnly="1" outline="0" fieldPosition="0">
        <references count="2">
          <reference field="6" count="1">
            <x v="35"/>
          </reference>
          <reference field="8" count="1" selected="0">
            <x v="35"/>
          </reference>
        </references>
      </pivotArea>
    </format>
    <format dxfId="773">
      <pivotArea dataOnly="0" labelOnly="1" outline="0" fieldPosition="0">
        <references count="2">
          <reference field="6" count="1">
            <x v="36"/>
          </reference>
          <reference field="8" count="1" selected="0">
            <x v="36"/>
          </reference>
        </references>
      </pivotArea>
    </format>
    <format dxfId="772">
      <pivotArea dataOnly="0" labelOnly="1" outline="0" fieldPosition="0">
        <references count="2">
          <reference field="6" count="1">
            <x v="37"/>
          </reference>
          <reference field="8" count="1" selected="0">
            <x v="37"/>
          </reference>
        </references>
      </pivotArea>
    </format>
    <format dxfId="771">
      <pivotArea dataOnly="0" labelOnly="1" outline="0" fieldPosition="0">
        <references count="2">
          <reference field="6" count="1">
            <x v="38"/>
          </reference>
          <reference field="8" count="1" selected="0">
            <x v="38"/>
          </reference>
        </references>
      </pivotArea>
    </format>
    <format dxfId="770">
      <pivotArea dataOnly="0" labelOnly="1" outline="0" fieldPosition="0">
        <references count="2">
          <reference field="6" count="1">
            <x v="39"/>
          </reference>
          <reference field="8" count="1" selected="0">
            <x v="39"/>
          </reference>
        </references>
      </pivotArea>
    </format>
    <format dxfId="769">
      <pivotArea dataOnly="0" labelOnly="1" outline="0" fieldPosition="0">
        <references count="2">
          <reference field="6" count="1">
            <x v="40"/>
          </reference>
          <reference field="8" count="1" selected="0">
            <x v="40"/>
          </reference>
        </references>
      </pivotArea>
    </format>
    <format dxfId="768">
      <pivotArea dataOnly="0" labelOnly="1" outline="0" fieldPosition="0">
        <references count="2">
          <reference field="6" count="1">
            <x v="41"/>
          </reference>
          <reference field="8" count="1" selected="0">
            <x v="41"/>
          </reference>
        </references>
      </pivotArea>
    </format>
    <format dxfId="767">
      <pivotArea dataOnly="0" labelOnly="1" outline="0" fieldPosition="0">
        <references count="2">
          <reference field="6" count="1">
            <x v="42"/>
          </reference>
          <reference field="8" count="1" selected="0">
            <x v="42"/>
          </reference>
        </references>
      </pivotArea>
    </format>
    <format dxfId="766">
      <pivotArea dataOnly="0" labelOnly="1" outline="0" fieldPosition="0">
        <references count="2">
          <reference field="6" count="1">
            <x v="43"/>
          </reference>
          <reference field="8" count="1" selected="0">
            <x v="43"/>
          </reference>
        </references>
      </pivotArea>
    </format>
    <format dxfId="765">
      <pivotArea dataOnly="0" labelOnly="1" outline="0" fieldPosition="0">
        <references count="2">
          <reference field="6" count="1">
            <x v="44"/>
          </reference>
          <reference field="8" count="1" selected="0">
            <x v="44"/>
          </reference>
        </references>
      </pivotArea>
    </format>
    <format dxfId="764">
      <pivotArea dataOnly="0" labelOnly="1" outline="0" fieldPosition="0">
        <references count="2">
          <reference field="6" count="1">
            <x v="45"/>
          </reference>
          <reference field="8" count="1" selected="0">
            <x v="45"/>
          </reference>
        </references>
      </pivotArea>
    </format>
    <format dxfId="763">
      <pivotArea dataOnly="0" labelOnly="1" outline="0" fieldPosition="0">
        <references count="2">
          <reference field="6" count="1">
            <x v="46"/>
          </reference>
          <reference field="8" count="1" selected="0">
            <x v="46"/>
          </reference>
        </references>
      </pivotArea>
    </format>
    <format dxfId="762">
      <pivotArea dataOnly="0" labelOnly="1" outline="0" fieldPosition="0">
        <references count="2">
          <reference field="6" count="1">
            <x v="47"/>
          </reference>
          <reference field="8" count="1" selected="0">
            <x v="47"/>
          </reference>
        </references>
      </pivotArea>
    </format>
    <format dxfId="761">
      <pivotArea dataOnly="0" labelOnly="1" outline="0" fieldPosition="0">
        <references count="2">
          <reference field="6" count="1">
            <x v="48"/>
          </reference>
          <reference field="8" count="1" selected="0">
            <x v="48"/>
          </reference>
        </references>
      </pivotArea>
    </format>
    <format dxfId="760">
      <pivotArea dataOnly="0" labelOnly="1" outline="0" fieldPosition="0">
        <references count="2">
          <reference field="6" count="1">
            <x v="49"/>
          </reference>
          <reference field="8" count="1" selected="0">
            <x v="49"/>
          </reference>
        </references>
      </pivotArea>
    </format>
    <format dxfId="759">
      <pivotArea dataOnly="0" labelOnly="1" outline="0" fieldPosition="0">
        <references count="2">
          <reference field="6" count="1">
            <x v="50"/>
          </reference>
          <reference field="8" count="1" selected="0">
            <x v="50"/>
          </reference>
        </references>
      </pivotArea>
    </format>
    <format dxfId="758">
      <pivotArea dataOnly="0" labelOnly="1" outline="0" fieldPosition="0">
        <references count="2">
          <reference field="6" count="1">
            <x v="51"/>
          </reference>
          <reference field="8" count="1" selected="0">
            <x v="51"/>
          </reference>
        </references>
      </pivotArea>
    </format>
    <format dxfId="757">
      <pivotArea dataOnly="0" labelOnly="1" outline="0" fieldPosition="0">
        <references count="2">
          <reference field="6" count="1">
            <x v="52"/>
          </reference>
          <reference field="8" count="1" selected="0">
            <x v="52"/>
          </reference>
        </references>
      </pivotArea>
    </format>
    <format dxfId="756">
      <pivotArea dataOnly="0" labelOnly="1" outline="0" fieldPosition="0">
        <references count="2">
          <reference field="6" count="1">
            <x v="53"/>
          </reference>
          <reference field="8" count="1" selected="0">
            <x v="53"/>
          </reference>
        </references>
      </pivotArea>
    </format>
    <format dxfId="755">
      <pivotArea dataOnly="0" labelOnly="1" outline="0" fieldPosition="0">
        <references count="2">
          <reference field="6" count="1">
            <x v="54"/>
          </reference>
          <reference field="8" count="1" selected="0">
            <x v="54"/>
          </reference>
        </references>
      </pivotArea>
    </format>
    <format dxfId="754">
      <pivotArea dataOnly="0" labelOnly="1" outline="0" fieldPosition="0">
        <references count="2">
          <reference field="6" count="1">
            <x v="55"/>
          </reference>
          <reference field="8" count="1" selected="0">
            <x v="55"/>
          </reference>
        </references>
      </pivotArea>
    </format>
    <format dxfId="753">
      <pivotArea dataOnly="0" labelOnly="1" outline="0" fieldPosition="0">
        <references count="2">
          <reference field="6" count="1">
            <x v="56"/>
          </reference>
          <reference field="8" count="1" selected="0">
            <x v="56"/>
          </reference>
        </references>
      </pivotArea>
    </format>
    <format dxfId="752">
      <pivotArea dataOnly="0" labelOnly="1" outline="0" fieldPosition="0">
        <references count="2">
          <reference field="6" count="1">
            <x v="57"/>
          </reference>
          <reference field="8" count="1" selected="0">
            <x v="57"/>
          </reference>
        </references>
      </pivotArea>
    </format>
    <format dxfId="751">
      <pivotArea dataOnly="0" labelOnly="1" outline="0" fieldPosition="0">
        <references count="2">
          <reference field="6" count="1">
            <x v="58"/>
          </reference>
          <reference field="8" count="1" selected="0">
            <x v="58"/>
          </reference>
        </references>
      </pivotArea>
    </format>
    <format dxfId="750">
      <pivotArea dataOnly="0" labelOnly="1" outline="0" fieldPosition="0">
        <references count="2">
          <reference field="6" count="1">
            <x v="59"/>
          </reference>
          <reference field="8" count="1" selected="0">
            <x v="59"/>
          </reference>
        </references>
      </pivotArea>
    </format>
    <format dxfId="749">
      <pivotArea dataOnly="0" labelOnly="1" outline="0" fieldPosition="0">
        <references count="2">
          <reference field="6" count="1">
            <x v="60"/>
          </reference>
          <reference field="8" count="1" selected="0">
            <x v="60"/>
          </reference>
        </references>
      </pivotArea>
    </format>
    <format dxfId="748">
      <pivotArea dataOnly="0" labelOnly="1" outline="0" fieldPosition="0">
        <references count="2">
          <reference field="6" count="1">
            <x v="61"/>
          </reference>
          <reference field="8" count="1" selected="0">
            <x v="61"/>
          </reference>
        </references>
      </pivotArea>
    </format>
    <format dxfId="747">
      <pivotArea dataOnly="0" labelOnly="1" outline="0" fieldPosition="0">
        <references count="2">
          <reference field="6" count="1">
            <x v="62"/>
          </reference>
          <reference field="8" count="1" selected="0">
            <x v="62"/>
          </reference>
        </references>
      </pivotArea>
    </format>
    <format dxfId="746">
      <pivotArea dataOnly="0" labelOnly="1" outline="0" fieldPosition="0">
        <references count="2">
          <reference field="6" count="1">
            <x v="63"/>
          </reference>
          <reference field="8" count="1" selected="0">
            <x v="63"/>
          </reference>
        </references>
      </pivotArea>
    </format>
    <format dxfId="745">
      <pivotArea dataOnly="0" labelOnly="1" outline="0" fieldPosition="0">
        <references count="2">
          <reference field="6" count="1">
            <x v="64"/>
          </reference>
          <reference field="8" count="1" selected="0">
            <x v="64"/>
          </reference>
        </references>
      </pivotArea>
    </format>
    <format dxfId="744">
      <pivotArea dataOnly="0" labelOnly="1" outline="0" fieldPosition="0">
        <references count="2">
          <reference field="6" count="1">
            <x v="65"/>
          </reference>
          <reference field="8" count="1" selected="0">
            <x v="65"/>
          </reference>
        </references>
      </pivotArea>
    </format>
    <format dxfId="743">
      <pivotArea dataOnly="0" labelOnly="1" outline="0" fieldPosition="0">
        <references count="2">
          <reference field="6" count="1">
            <x v="66"/>
          </reference>
          <reference field="8" count="1" selected="0">
            <x v="66"/>
          </reference>
        </references>
      </pivotArea>
    </format>
    <format dxfId="742">
      <pivotArea dataOnly="0" labelOnly="1" outline="0" fieldPosition="0">
        <references count="2">
          <reference field="6" count="1">
            <x v="67"/>
          </reference>
          <reference field="8" count="1" selected="0">
            <x v="67"/>
          </reference>
        </references>
      </pivotArea>
    </format>
    <format dxfId="741">
      <pivotArea dataOnly="0" labelOnly="1" outline="0" fieldPosition="0">
        <references count="2">
          <reference field="6" count="1">
            <x v="68"/>
          </reference>
          <reference field="8" count="1" selected="0">
            <x v="68"/>
          </reference>
        </references>
      </pivotArea>
    </format>
    <format dxfId="740">
      <pivotArea dataOnly="0" labelOnly="1" outline="0" fieldPosition="0">
        <references count="2">
          <reference field="6" count="1">
            <x v="69"/>
          </reference>
          <reference field="8" count="1" selected="0">
            <x v="69"/>
          </reference>
        </references>
      </pivotArea>
    </format>
    <format dxfId="739">
      <pivotArea dataOnly="0" labelOnly="1" outline="0" fieldPosition="0">
        <references count="2">
          <reference field="6" count="1">
            <x v="70"/>
          </reference>
          <reference field="8" count="1" selected="0">
            <x v="70"/>
          </reference>
        </references>
      </pivotArea>
    </format>
    <format dxfId="738">
      <pivotArea dataOnly="0" labelOnly="1" outline="0" fieldPosition="0">
        <references count="2">
          <reference field="6" count="1">
            <x v="71"/>
          </reference>
          <reference field="8" count="1" selected="0">
            <x v="71"/>
          </reference>
        </references>
      </pivotArea>
    </format>
    <format dxfId="737">
      <pivotArea dataOnly="0" labelOnly="1" outline="0" fieldPosition="0">
        <references count="2">
          <reference field="6" count="1">
            <x v="72"/>
          </reference>
          <reference field="8" count="1" selected="0">
            <x v="72"/>
          </reference>
        </references>
      </pivotArea>
    </format>
    <format dxfId="736">
      <pivotArea dataOnly="0" labelOnly="1" outline="0" fieldPosition="0">
        <references count="2">
          <reference field="6" count="1">
            <x v="73"/>
          </reference>
          <reference field="8" count="1" selected="0">
            <x v="73"/>
          </reference>
        </references>
      </pivotArea>
    </format>
    <format dxfId="735">
      <pivotArea dataOnly="0" labelOnly="1" outline="0" fieldPosition="0">
        <references count="2">
          <reference field="6" count="1">
            <x v="74"/>
          </reference>
          <reference field="8" count="1" selected="0">
            <x v="74"/>
          </reference>
        </references>
      </pivotArea>
    </format>
    <format dxfId="734">
      <pivotArea dataOnly="0" labelOnly="1" outline="0" fieldPosition="0">
        <references count="2">
          <reference field="6" count="1">
            <x v="75"/>
          </reference>
          <reference field="8" count="1" selected="0">
            <x v="75"/>
          </reference>
        </references>
      </pivotArea>
    </format>
    <format dxfId="733">
      <pivotArea dataOnly="0" labelOnly="1" outline="0" fieldPosition="0">
        <references count="2">
          <reference field="6" count="1">
            <x v="78"/>
          </reference>
          <reference field="8" count="1" selected="0">
            <x v="76"/>
          </reference>
        </references>
      </pivotArea>
    </format>
    <format dxfId="732">
      <pivotArea dataOnly="0" labelOnly="1" outline="0" fieldPosition="0">
        <references count="2">
          <reference field="6" count="1">
            <x v="79"/>
          </reference>
          <reference field="8" count="1" selected="0">
            <x v="77"/>
          </reference>
        </references>
      </pivotArea>
    </format>
    <format dxfId="731">
      <pivotArea dataOnly="0" labelOnly="1" outline="0" fieldPosition="0">
        <references count="2">
          <reference field="6" count="1">
            <x v="76"/>
          </reference>
          <reference field="8" count="1" selected="0">
            <x v="78"/>
          </reference>
        </references>
      </pivotArea>
    </format>
    <format dxfId="730">
      <pivotArea dataOnly="0" labelOnly="1" outline="0" fieldPosition="0">
        <references count="2">
          <reference field="6" count="1">
            <x v="77"/>
          </reference>
          <reference field="8" count="1" selected="0">
            <x v="79"/>
          </reference>
        </references>
      </pivotArea>
    </format>
    <format dxfId="729">
      <pivotArea dataOnly="0" labelOnly="1" outline="0" fieldPosition="0">
        <references count="2">
          <reference field="6" count="1">
            <x v="80"/>
          </reference>
          <reference field="8" count="1" selected="0">
            <x v="80"/>
          </reference>
        </references>
      </pivotArea>
    </format>
    <format dxfId="728">
      <pivotArea dataOnly="0" labelOnly="1" outline="0" fieldPosition="0">
        <references count="2">
          <reference field="6" count="1">
            <x v="81"/>
          </reference>
          <reference field="8" count="1" selected="0">
            <x v="81"/>
          </reference>
        </references>
      </pivotArea>
    </format>
    <format dxfId="727">
      <pivotArea dataOnly="0" labelOnly="1" outline="0" fieldPosition="0">
        <references count="2">
          <reference field="6" count="1">
            <x v="82"/>
          </reference>
          <reference field="8" count="1" selected="0">
            <x v="82"/>
          </reference>
        </references>
      </pivotArea>
    </format>
    <format dxfId="726">
      <pivotArea dataOnly="0" labelOnly="1" outline="0" fieldPosition="0">
        <references count="2">
          <reference field="6" count="1">
            <x v="83"/>
          </reference>
          <reference field="8" count="1" selected="0">
            <x v="83"/>
          </reference>
        </references>
      </pivotArea>
    </format>
    <format dxfId="725">
      <pivotArea dataOnly="0" labelOnly="1" outline="0" fieldPosition="0">
        <references count="2">
          <reference field="6" count="1">
            <x v="84"/>
          </reference>
          <reference field="8" count="1" selected="0">
            <x v="84"/>
          </reference>
        </references>
      </pivotArea>
    </format>
    <format dxfId="724">
      <pivotArea dataOnly="0" labelOnly="1" outline="0" fieldPosition="0">
        <references count="2">
          <reference field="6" count="1">
            <x v="85"/>
          </reference>
          <reference field="8" count="1" selected="0">
            <x v="85"/>
          </reference>
        </references>
      </pivotArea>
    </format>
    <format dxfId="723">
      <pivotArea dataOnly="0" labelOnly="1" outline="0" fieldPosition="0">
        <references count="2">
          <reference field="6" count="1">
            <x v="86"/>
          </reference>
          <reference field="8" count="1" selected="0">
            <x v="86"/>
          </reference>
        </references>
      </pivotArea>
    </format>
    <format dxfId="722">
      <pivotArea dataOnly="0" labelOnly="1" outline="0" fieldPosition="0">
        <references count="2">
          <reference field="6" count="1">
            <x v="87"/>
          </reference>
          <reference field="8" count="1" selected="0">
            <x v="87"/>
          </reference>
        </references>
      </pivotArea>
    </format>
    <format dxfId="721">
      <pivotArea dataOnly="0" labelOnly="1" outline="0" fieldPosition="0">
        <references count="2">
          <reference field="6" count="1">
            <x v="88"/>
          </reference>
          <reference field="8" count="1" selected="0">
            <x v="88"/>
          </reference>
        </references>
      </pivotArea>
    </format>
    <format dxfId="720">
      <pivotArea dataOnly="0" labelOnly="1" outline="0" fieldPosition="0">
        <references count="2">
          <reference field="6" count="1">
            <x v="89"/>
          </reference>
          <reference field="8" count="1" selected="0">
            <x v="89"/>
          </reference>
        </references>
      </pivotArea>
    </format>
    <format dxfId="719">
      <pivotArea dataOnly="0" labelOnly="1" outline="0" fieldPosition="0">
        <references count="2">
          <reference field="6" count="1">
            <x v="90"/>
          </reference>
          <reference field="8" count="1" selected="0">
            <x v="90"/>
          </reference>
        </references>
      </pivotArea>
    </format>
    <format dxfId="718">
      <pivotArea dataOnly="0" labelOnly="1" outline="0" fieldPosition="0">
        <references count="2">
          <reference field="6" count="1">
            <x v="91"/>
          </reference>
          <reference field="8" count="1" selected="0">
            <x v="91"/>
          </reference>
        </references>
      </pivotArea>
    </format>
    <format dxfId="717">
      <pivotArea dataOnly="0" labelOnly="1" outline="0" fieldPosition="0">
        <references count="2">
          <reference field="6" count="1">
            <x v="92"/>
          </reference>
          <reference field="8" count="1" selected="0">
            <x v="92"/>
          </reference>
        </references>
      </pivotArea>
    </format>
    <format dxfId="716">
      <pivotArea dataOnly="0" labelOnly="1" outline="0" fieldPosition="0">
        <references count="2">
          <reference field="6" count="1">
            <x v="93"/>
          </reference>
          <reference field="8" count="1" selected="0">
            <x v="93"/>
          </reference>
        </references>
      </pivotArea>
    </format>
    <format dxfId="715">
      <pivotArea dataOnly="0" labelOnly="1" outline="0" fieldPosition="0">
        <references count="2">
          <reference field="6" count="1">
            <x v="94"/>
          </reference>
          <reference field="8" count="1" selected="0">
            <x v="94"/>
          </reference>
        </references>
      </pivotArea>
    </format>
    <format dxfId="714">
      <pivotArea dataOnly="0" labelOnly="1" outline="0" fieldPosition="0">
        <references count="2">
          <reference field="6" count="1">
            <x v="95"/>
          </reference>
          <reference field="8" count="1" selected="0">
            <x v="95"/>
          </reference>
        </references>
      </pivotArea>
    </format>
    <format dxfId="713">
      <pivotArea dataOnly="0" labelOnly="1" outline="0" fieldPosition="0">
        <references count="2">
          <reference field="6" count="1">
            <x v="96"/>
          </reference>
          <reference field="8" count="1" selected="0">
            <x v="96"/>
          </reference>
        </references>
      </pivotArea>
    </format>
    <format dxfId="712">
      <pivotArea dataOnly="0" labelOnly="1" outline="0" fieldPosition="0">
        <references count="2">
          <reference field="6" count="1">
            <x v="97"/>
          </reference>
          <reference field="8" count="1" selected="0">
            <x v="97"/>
          </reference>
        </references>
      </pivotArea>
    </format>
    <format dxfId="711">
      <pivotArea dataOnly="0" labelOnly="1" outline="0" fieldPosition="0">
        <references count="2">
          <reference field="6" count="1">
            <x v="98"/>
          </reference>
          <reference field="8" count="1" selected="0">
            <x v="98"/>
          </reference>
        </references>
      </pivotArea>
    </format>
    <format dxfId="710">
      <pivotArea dataOnly="0" labelOnly="1" outline="0" fieldPosition="0">
        <references count="2">
          <reference field="6" count="1">
            <x v="99"/>
          </reference>
          <reference field="8" count="1" selected="0">
            <x v="99"/>
          </reference>
        </references>
      </pivotArea>
    </format>
    <format dxfId="709">
      <pivotArea dataOnly="0" labelOnly="1" outline="0" fieldPosition="0">
        <references count="2">
          <reference field="6" count="1">
            <x v="100"/>
          </reference>
          <reference field="8" count="1" selected="0">
            <x v="100"/>
          </reference>
        </references>
      </pivotArea>
    </format>
    <format dxfId="708">
      <pivotArea dataOnly="0" labelOnly="1" outline="0" fieldPosition="0">
        <references count="2">
          <reference field="6" count="1">
            <x v="101"/>
          </reference>
          <reference field="8" count="1" selected="0">
            <x v="101"/>
          </reference>
        </references>
      </pivotArea>
    </format>
    <format dxfId="707">
      <pivotArea dataOnly="0" labelOnly="1" outline="0" fieldPosition="0">
        <references count="2">
          <reference field="6" count="1">
            <x v="102"/>
          </reference>
          <reference field="8" count="1" selected="0">
            <x v="102"/>
          </reference>
        </references>
      </pivotArea>
    </format>
    <format dxfId="706">
      <pivotArea dataOnly="0" labelOnly="1" outline="0" fieldPosition="0">
        <references count="2">
          <reference field="6" count="1">
            <x v="103"/>
          </reference>
          <reference field="8" count="1" selected="0">
            <x v="103"/>
          </reference>
        </references>
      </pivotArea>
    </format>
    <format dxfId="705">
      <pivotArea dataOnly="0" labelOnly="1" outline="0" fieldPosition="0">
        <references count="2">
          <reference field="6" count="1">
            <x v="104"/>
          </reference>
          <reference field="8" count="1" selected="0">
            <x v="104"/>
          </reference>
        </references>
      </pivotArea>
    </format>
    <format dxfId="704">
      <pivotArea dataOnly="0" labelOnly="1" outline="0" fieldPosition="0">
        <references count="2">
          <reference field="6" count="1">
            <x v="105"/>
          </reference>
          <reference field="8" count="1" selected="0">
            <x v="105"/>
          </reference>
        </references>
      </pivotArea>
    </format>
    <format dxfId="703">
      <pivotArea dataOnly="0" labelOnly="1" outline="0" fieldPosition="0">
        <references count="2">
          <reference field="6" count="1">
            <x v="106"/>
          </reference>
          <reference field="8" count="1" selected="0">
            <x v="106"/>
          </reference>
        </references>
      </pivotArea>
    </format>
    <format dxfId="702">
      <pivotArea dataOnly="0" labelOnly="1" outline="0" fieldPosition="0">
        <references count="2">
          <reference field="6" count="1">
            <x v="107"/>
          </reference>
          <reference field="8" count="1" selected="0">
            <x v="107"/>
          </reference>
        </references>
      </pivotArea>
    </format>
    <format dxfId="701">
      <pivotArea dataOnly="0" labelOnly="1" outline="0" fieldPosition="0">
        <references count="2">
          <reference field="6" count="1">
            <x v="108"/>
          </reference>
          <reference field="8" count="1" selected="0">
            <x v="108"/>
          </reference>
        </references>
      </pivotArea>
    </format>
    <format dxfId="700">
      <pivotArea dataOnly="0" labelOnly="1" outline="0" fieldPosition="0">
        <references count="2">
          <reference field="6" count="1">
            <x v="109"/>
          </reference>
          <reference field="8" count="1" selected="0">
            <x v="109"/>
          </reference>
        </references>
      </pivotArea>
    </format>
    <format dxfId="699">
      <pivotArea dataOnly="0" labelOnly="1" outline="0" fieldPosition="0">
        <references count="2">
          <reference field="6" count="1">
            <x v="110"/>
          </reference>
          <reference field="8" count="1" selected="0">
            <x v="110"/>
          </reference>
        </references>
      </pivotArea>
    </format>
    <format dxfId="698">
      <pivotArea dataOnly="0" labelOnly="1" outline="0" fieldPosition="0">
        <references count="2">
          <reference field="6" count="1">
            <x v="111"/>
          </reference>
          <reference field="8" count="1" selected="0">
            <x v="111"/>
          </reference>
        </references>
      </pivotArea>
    </format>
    <format dxfId="697">
      <pivotArea dataOnly="0" labelOnly="1" outline="0" fieldPosition="0">
        <references count="2">
          <reference field="6" count="1">
            <x v="112"/>
          </reference>
          <reference field="8" count="1" selected="0">
            <x v="112"/>
          </reference>
        </references>
      </pivotArea>
    </format>
    <format dxfId="696">
      <pivotArea dataOnly="0" labelOnly="1" outline="0" fieldPosition="0">
        <references count="2">
          <reference field="6" count="1">
            <x v="113"/>
          </reference>
          <reference field="8" count="1" selected="0">
            <x v="113"/>
          </reference>
        </references>
      </pivotArea>
    </format>
    <format dxfId="695">
      <pivotArea dataOnly="0" labelOnly="1" outline="0" fieldPosition="0">
        <references count="2">
          <reference field="6" count="1">
            <x v="114"/>
          </reference>
          <reference field="8" count="1" selected="0">
            <x v="114"/>
          </reference>
        </references>
      </pivotArea>
    </format>
    <format dxfId="694">
      <pivotArea dataOnly="0" labelOnly="1" outline="0" fieldPosition="0">
        <references count="2">
          <reference field="6" count="1">
            <x v="115"/>
          </reference>
          <reference field="8" count="1" selected="0">
            <x v="115"/>
          </reference>
        </references>
      </pivotArea>
    </format>
    <format dxfId="693">
      <pivotArea dataOnly="0" labelOnly="1" outline="0" fieldPosition="0">
        <references count="2">
          <reference field="6" count="1">
            <x v="116"/>
          </reference>
          <reference field="8" count="1" selected="0">
            <x v="116"/>
          </reference>
        </references>
      </pivotArea>
    </format>
    <format dxfId="692">
      <pivotArea dataOnly="0" labelOnly="1" outline="0" fieldPosition="0">
        <references count="2">
          <reference field="6" count="1">
            <x v="117"/>
          </reference>
          <reference field="8" count="1" selected="0">
            <x v="117"/>
          </reference>
        </references>
      </pivotArea>
    </format>
    <format dxfId="691">
      <pivotArea dataOnly="0" labelOnly="1" outline="0" fieldPosition="0">
        <references count="2">
          <reference field="6" count="1">
            <x v="118"/>
          </reference>
          <reference field="8" count="1" selected="0">
            <x v="118"/>
          </reference>
        </references>
      </pivotArea>
    </format>
    <format dxfId="690">
      <pivotArea dataOnly="0" labelOnly="1" outline="0" fieldPosition="0">
        <references count="2">
          <reference field="6" count="1">
            <x v="119"/>
          </reference>
          <reference field="8" count="1" selected="0">
            <x v="119"/>
          </reference>
        </references>
      </pivotArea>
    </format>
    <format dxfId="689">
      <pivotArea dataOnly="0" labelOnly="1" outline="0" fieldPosition="0">
        <references count="2">
          <reference field="6" count="1">
            <x v="120"/>
          </reference>
          <reference field="8" count="1" selected="0">
            <x v="120"/>
          </reference>
        </references>
      </pivotArea>
    </format>
    <format dxfId="688">
      <pivotArea dataOnly="0" labelOnly="1" outline="0" fieldPosition="0">
        <references count="2">
          <reference field="6" count="1">
            <x v="121"/>
          </reference>
          <reference field="8" count="1" selected="0">
            <x v="121"/>
          </reference>
        </references>
      </pivotArea>
    </format>
    <format dxfId="687">
      <pivotArea dataOnly="0" labelOnly="1" outline="0" fieldPosition="0">
        <references count="2">
          <reference field="6" count="1">
            <x v="122"/>
          </reference>
          <reference field="8" count="1" selected="0">
            <x v="122"/>
          </reference>
        </references>
      </pivotArea>
    </format>
    <format dxfId="686">
      <pivotArea dataOnly="0" labelOnly="1" outline="0" fieldPosition="0">
        <references count="2">
          <reference field="6" count="1">
            <x v="123"/>
          </reference>
          <reference field="8" count="1" selected="0">
            <x v="123"/>
          </reference>
        </references>
      </pivotArea>
    </format>
    <format dxfId="685">
      <pivotArea dataOnly="0" labelOnly="1" outline="0" fieldPosition="0">
        <references count="2">
          <reference field="6" count="1">
            <x v="124"/>
          </reference>
          <reference field="8" count="1" selected="0">
            <x v="124"/>
          </reference>
        </references>
      </pivotArea>
    </format>
    <format dxfId="684">
      <pivotArea dataOnly="0" labelOnly="1" outline="0" fieldPosition="0">
        <references count="2">
          <reference field="6" count="1">
            <x v="125"/>
          </reference>
          <reference field="8" count="1" selected="0">
            <x v="125"/>
          </reference>
        </references>
      </pivotArea>
    </format>
    <format dxfId="683">
      <pivotArea dataOnly="0" labelOnly="1" outline="0" fieldPosition="0">
        <references count="2">
          <reference field="6" count="1">
            <x v="126"/>
          </reference>
          <reference field="8" count="1" selected="0">
            <x v="126"/>
          </reference>
        </references>
      </pivotArea>
    </format>
    <format dxfId="682">
      <pivotArea dataOnly="0" labelOnly="1" outline="0" fieldPosition="0">
        <references count="2">
          <reference field="6" count="1">
            <x v="127"/>
          </reference>
          <reference field="8" count="1" selected="0">
            <x v="127"/>
          </reference>
        </references>
      </pivotArea>
    </format>
    <format dxfId="681">
      <pivotArea dataOnly="0" labelOnly="1" outline="0" fieldPosition="0">
        <references count="2">
          <reference field="6" count="1">
            <x v="128"/>
          </reference>
          <reference field="8" count="1" selected="0">
            <x v="128"/>
          </reference>
        </references>
      </pivotArea>
    </format>
    <format dxfId="680">
      <pivotArea dataOnly="0" labelOnly="1" outline="0" fieldPosition="0">
        <references count="2">
          <reference field="6" count="1">
            <x v="129"/>
          </reference>
          <reference field="8" count="1" selected="0">
            <x v="129"/>
          </reference>
        </references>
      </pivotArea>
    </format>
    <format dxfId="679">
      <pivotArea dataOnly="0" labelOnly="1" outline="0" fieldPosition="0">
        <references count="2">
          <reference field="6" count="1">
            <x v="130"/>
          </reference>
          <reference field="8" count="1" selected="0">
            <x v="130"/>
          </reference>
        </references>
      </pivotArea>
    </format>
    <format dxfId="678">
      <pivotArea dataOnly="0" labelOnly="1" outline="0" fieldPosition="0">
        <references count="2">
          <reference field="6" count="1">
            <x v="131"/>
          </reference>
          <reference field="8" count="1" selected="0">
            <x v="131"/>
          </reference>
        </references>
      </pivotArea>
    </format>
    <format dxfId="677">
      <pivotArea dataOnly="0" labelOnly="1" outline="0" fieldPosition="0">
        <references count="2">
          <reference field="6" count="1">
            <x v="132"/>
          </reference>
          <reference field="8" count="1" selected="0">
            <x v="132"/>
          </reference>
        </references>
      </pivotArea>
    </format>
    <format dxfId="676">
      <pivotArea dataOnly="0" labelOnly="1" outline="0" fieldPosition="0">
        <references count="2">
          <reference field="6" count="1">
            <x v="133"/>
          </reference>
          <reference field="8" count="1" selected="0">
            <x v="133"/>
          </reference>
        </references>
      </pivotArea>
    </format>
    <format dxfId="675">
      <pivotArea dataOnly="0" labelOnly="1" outline="0" fieldPosition="0">
        <references count="2">
          <reference field="6" count="1">
            <x v="134"/>
          </reference>
          <reference field="8" count="1" selected="0">
            <x v="134"/>
          </reference>
        </references>
      </pivotArea>
    </format>
    <format dxfId="674">
      <pivotArea dataOnly="0" labelOnly="1" outline="0" fieldPosition="0">
        <references count="2">
          <reference field="6" count="1">
            <x v="135"/>
          </reference>
          <reference field="8" count="1" selected="0">
            <x v="135"/>
          </reference>
        </references>
      </pivotArea>
    </format>
    <format dxfId="673">
      <pivotArea dataOnly="0" labelOnly="1" outline="0" fieldPosition="0">
        <references count="2">
          <reference field="6" count="1">
            <x v="136"/>
          </reference>
          <reference field="8" count="1" selected="0">
            <x v="136"/>
          </reference>
        </references>
      </pivotArea>
    </format>
    <format dxfId="672">
      <pivotArea dataOnly="0" labelOnly="1" outline="0" fieldPosition="0">
        <references count="2">
          <reference field="6" count="1">
            <x v="137"/>
          </reference>
          <reference field="8" count="1" selected="0">
            <x v="137"/>
          </reference>
        </references>
      </pivotArea>
    </format>
    <format dxfId="671">
      <pivotArea dataOnly="0" labelOnly="1" outline="0" fieldPosition="0">
        <references count="2">
          <reference field="6" count="1">
            <x v="138"/>
          </reference>
          <reference field="8" count="1" selected="0">
            <x v="138"/>
          </reference>
        </references>
      </pivotArea>
    </format>
    <format dxfId="670">
      <pivotArea dataOnly="0" labelOnly="1" outline="0" fieldPosition="0">
        <references count="2">
          <reference field="6" count="1">
            <x v="139"/>
          </reference>
          <reference field="8" count="1" selected="0">
            <x v="139"/>
          </reference>
        </references>
      </pivotArea>
    </format>
    <format dxfId="669">
      <pivotArea dataOnly="0" labelOnly="1" outline="0" fieldPosition="0">
        <references count="2">
          <reference field="6" count="1">
            <x v="140"/>
          </reference>
          <reference field="8" count="1" selected="0">
            <x v="140"/>
          </reference>
        </references>
      </pivotArea>
    </format>
    <format dxfId="668">
      <pivotArea dataOnly="0" labelOnly="1" outline="0" fieldPosition="0">
        <references count="2">
          <reference field="6" count="1">
            <x v="141"/>
          </reference>
          <reference field="8" count="1" selected="0">
            <x v="141"/>
          </reference>
        </references>
      </pivotArea>
    </format>
    <format dxfId="667">
      <pivotArea dataOnly="0" labelOnly="1" outline="0" fieldPosition="0">
        <references count="2">
          <reference field="6" count="1">
            <x v="142"/>
          </reference>
          <reference field="8" count="1" selected="0">
            <x v="142"/>
          </reference>
        </references>
      </pivotArea>
    </format>
    <format dxfId="666">
      <pivotArea dataOnly="0" labelOnly="1" outline="0" fieldPosition="0">
        <references count="2">
          <reference field="6" count="1">
            <x v="143"/>
          </reference>
          <reference field="8" count="1" selected="0">
            <x v="143"/>
          </reference>
        </references>
      </pivotArea>
    </format>
    <format dxfId="665">
      <pivotArea dataOnly="0" labelOnly="1" outline="0" fieldPosition="0">
        <references count="2">
          <reference field="6" count="1">
            <x v="144"/>
          </reference>
          <reference field="8" count="1" selected="0">
            <x v="144"/>
          </reference>
        </references>
      </pivotArea>
    </format>
    <format dxfId="664">
      <pivotArea dataOnly="0" labelOnly="1" outline="0" fieldPosition="0">
        <references count="2">
          <reference field="6" count="1">
            <x v="145"/>
          </reference>
          <reference field="8" count="1" selected="0">
            <x v="145"/>
          </reference>
        </references>
      </pivotArea>
    </format>
    <format dxfId="663">
      <pivotArea dataOnly="0" labelOnly="1" outline="0" fieldPosition="0">
        <references count="2">
          <reference field="6" count="1">
            <x v="146"/>
          </reference>
          <reference field="8" count="1" selected="0">
            <x v="146"/>
          </reference>
        </references>
      </pivotArea>
    </format>
    <format dxfId="662">
      <pivotArea dataOnly="0" labelOnly="1" outline="0" fieldPosition="0">
        <references count="2">
          <reference field="6" count="1">
            <x v="147"/>
          </reference>
          <reference field="8" count="1" selected="0">
            <x v="147"/>
          </reference>
        </references>
      </pivotArea>
    </format>
    <format dxfId="661">
      <pivotArea dataOnly="0" labelOnly="1" outline="0" fieldPosition="0">
        <references count="2">
          <reference field="6" count="1">
            <x v="148"/>
          </reference>
          <reference field="8" count="1" selected="0">
            <x v="148"/>
          </reference>
        </references>
      </pivotArea>
    </format>
    <format dxfId="660">
      <pivotArea dataOnly="0" labelOnly="1" outline="0" fieldPosition="0">
        <references count="2">
          <reference field="6" count="1">
            <x v="149"/>
          </reference>
          <reference field="8" count="1" selected="0">
            <x v="149"/>
          </reference>
        </references>
      </pivotArea>
    </format>
    <format dxfId="659">
      <pivotArea dataOnly="0" labelOnly="1" outline="0" fieldPosition="0">
        <references count="2">
          <reference field="6" count="1">
            <x v="150"/>
          </reference>
          <reference field="8" count="1" selected="0">
            <x v="150"/>
          </reference>
        </references>
      </pivotArea>
    </format>
    <format dxfId="658">
      <pivotArea dataOnly="0" labelOnly="1" outline="0" fieldPosition="0">
        <references count="2">
          <reference field="6" count="1">
            <x v="151"/>
          </reference>
          <reference field="8" count="1" selected="0">
            <x v="151"/>
          </reference>
        </references>
      </pivotArea>
    </format>
    <format dxfId="657">
      <pivotArea dataOnly="0" labelOnly="1" outline="0" fieldPosition="0">
        <references count="2">
          <reference field="6" count="1">
            <x v="152"/>
          </reference>
          <reference field="8" count="1" selected="0">
            <x v="152"/>
          </reference>
        </references>
      </pivotArea>
    </format>
    <format dxfId="656">
      <pivotArea dataOnly="0" labelOnly="1" outline="0" fieldPosition="0">
        <references count="2">
          <reference field="6" count="1">
            <x v="153"/>
          </reference>
          <reference field="8" count="1" selected="0">
            <x v="153"/>
          </reference>
        </references>
      </pivotArea>
    </format>
    <format dxfId="655">
      <pivotArea dataOnly="0" labelOnly="1" outline="0" fieldPosition="0">
        <references count="2">
          <reference field="6" count="1">
            <x v="154"/>
          </reference>
          <reference field="8" count="1" selected="0">
            <x v="154"/>
          </reference>
        </references>
      </pivotArea>
    </format>
    <format dxfId="654">
      <pivotArea dataOnly="0" labelOnly="1" outline="0" fieldPosition="0">
        <references count="2">
          <reference field="6" count="1">
            <x v="155"/>
          </reference>
          <reference field="8" count="1" selected="0">
            <x v="155"/>
          </reference>
        </references>
      </pivotArea>
    </format>
    <format dxfId="653">
      <pivotArea dataOnly="0" labelOnly="1" outline="0" fieldPosition="0">
        <references count="2">
          <reference field="6" count="1">
            <x v="156"/>
          </reference>
          <reference field="8" count="1" selected="0">
            <x v="156"/>
          </reference>
        </references>
      </pivotArea>
    </format>
    <format dxfId="652">
      <pivotArea dataOnly="0" labelOnly="1" outline="0" fieldPosition="0">
        <references count="2">
          <reference field="6" count="1">
            <x v="157"/>
          </reference>
          <reference field="8" count="1" selected="0">
            <x v="157"/>
          </reference>
        </references>
      </pivotArea>
    </format>
    <format dxfId="651">
      <pivotArea dataOnly="0" labelOnly="1" outline="0" fieldPosition="0">
        <references count="2">
          <reference field="6" count="1">
            <x v="158"/>
          </reference>
          <reference field="8" count="1" selected="0">
            <x v="158"/>
          </reference>
        </references>
      </pivotArea>
    </format>
    <format dxfId="650">
      <pivotArea dataOnly="0" labelOnly="1" outline="0" fieldPosition="0">
        <references count="2">
          <reference field="6" count="1">
            <x v="159"/>
          </reference>
          <reference field="8" count="1" selected="0">
            <x v="159"/>
          </reference>
        </references>
      </pivotArea>
    </format>
    <format dxfId="649">
      <pivotArea dataOnly="0" labelOnly="1" outline="0" fieldPosition="0">
        <references count="2">
          <reference field="6" count="1">
            <x v="160"/>
          </reference>
          <reference field="8" count="1" selected="0">
            <x v="160"/>
          </reference>
        </references>
      </pivotArea>
    </format>
    <format dxfId="648">
      <pivotArea dataOnly="0" labelOnly="1" outline="0" fieldPosition="0">
        <references count="2">
          <reference field="6" count="1">
            <x v="161"/>
          </reference>
          <reference field="8" count="1" selected="0">
            <x v="161"/>
          </reference>
        </references>
      </pivotArea>
    </format>
    <format dxfId="647">
      <pivotArea dataOnly="0" labelOnly="1" outline="0" fieldPosition="0">
        <references count="2">
          <reference field="6" count="1">
            <x v="162"/>
          </reference>
          <reference field="8" count="1" selected="0">
            <x v="162"/>
          </reference>
        </references>
      </pivotArea>
    </format>
    <format dxfId="646">
      <pivotArea dataOnly="0" labelOnly="1" outline="0" fieldPosition="0">
        <references count="2">
          <reference field="6" count="1">
            <x v="163"/>
          </reference>
          <reference field="8" count="1" selected="0">
            <x v="163"/>
          </reference>
        </references>
      </pivotArea>
    </format>
    <format dxfId="645">
      <pivotArea dataOnly="0" labelOnly="1" outline="0" fieldPosition="0">
        <references count="2">
          <reference field="6" count="1">
            <x v="164"/>
          </reference>
          <reference field="8" count="1" selected="0">
            <x v="164"/>
          </reference>
        </references>
      </pivotArea>
    </format>
    <format dxfId="644">
      <pivotArea dataOnly="0" labelOnly="1" outline="0" fieldPosition="0">
        <references count="2">
          <reference field="6" count="1">
            <x v="165"/>
          </reference>
          <reference field="8" count="1" selected="0">
            <x v="165"/>
          </reference>
        </references>
      </pivotArea>
    </format>
    <format dxfId="643">
      <pivotArea dataOnly="0" labelOnly="1" outline="0" fieldPosition="0">
        <references count="2">
          <reference field="6" count="1">
            <x v="166"/>
          </reference>
          <reference field="8" count="1" selected="0">
            <x v="166"/>
          </reference>
        </references>
      </pivotArea>
    </format>
    <format dxfId="642">
      <pivotArea dataOnly="0" labelOnly="1" outline="0" fieldPosition="0">
        <references count="2">
          <reference field="6" count="1">
            <x v="167"/>
          </reference>
          <reference field="8" count="1" selected="0">
            <x v="167"/>
          </reference>
        </references>
      </pivotArea>
    </format>
    <format dxfId="641">
      <pivotArea dataOnly="0" labelOnly="1" outline="0" fieldPosition="0">
        <references count="2">
          <reference field="6" count="1">
            <x v="168"/>
          </reference>
          <reference field="8" count="1" selected="0">
            <x v="168"/>
          </reference>
        </references>
      </pivotArea>
    </format>
    <format dxfId="640">
      <pivotArea dataOnly="0" labelOnly="1" outline="0" fieldPosition="0">
        <references count="2">
          <reference field="6" count="1">
            <x v="169"/>
          </reference>
          <reference field="8" count="1" selected="0">
            <x v="169"/>
          </reference>
        </references>
      </pivotArea>
    </format>
    <format dxfId="639">
      <pivotArea dataOnly="0" labelOnly="1" outline="0" fieldPosition="0">
        <references count="2">
          <reference field="6" count="1">
            <x v="170"/>
          </reference>
          <reference field="8" count="1" selected="0">
            <x v="170"/>
          </reference>
        </references>
      </pivotArea>
    </format>
    <format dxfId="638">
      <pivotArea dataOnly="0" labelOnly="1" outline="0" fieldPosition="0">
        <references count="2">
          <reference field="6" count="1">
            <x v="171"/>
          </reference>
          <reference field="8" count="1" selected="0">
            <x v="171"/>
          </reference>
        </references>
      </pivotArea>
    </format>
    <format dxfId="637">
      <pivotArea dataOnly="0" labelOnly="1" outline="0" fieldPosition="0">
        <references count="2">
          <reference field="6" count="1">
            <x v="172"/>
          </reference>
          <reference field="8" count="1" selected="0">
            <x v="172"/>
          </reference>
        </references>
      </pivotArea>
    </format>
    <format dxfId="636">
      <pivotArea dataOnly="0" labelOnly="1" outline="0" fieldPosition="0">
        <references count="2">
          <reference field="6" count="1">
            <x v="173"/>
          </reference>
          <reference field="8" count="1" selected="0">
            <x v="173"/>
          </reference>
        </references>
      </pivotArea>
    </format>
    <format dxfId="635">
      <pivotArea dataOnly="0" labelOnly="1" outline="0" fieldPosition="0">
        <references count="2">
          <reference field="6" count="1">
            <x v="174"/>
          </reference>
          <reference field="8" count="1" selected="0">
            <x v="174"/>
          </reference>
        </references>
      </pivotArea>
    </format>
    <format dxfId="634">
      <pivotArea dataOnly="0" labelOnly="1" outline="0" fieldPosition="0">
        <references count="2">
          <reference field="6" count="1">
            <x v="175"/>
          </reference>
          <reference field="8" count="1" selected="0">
            <x v="175"/>
          </reference>
        </references>
      </pivotArea>
    </format>
    <format dxfId="633">
      <pivotArea dataOnly="0" labelOnly="1" outline="0" fieldPosition="0">
        <references count="2">
          <reference field="6" count="1">
            <x v="176"/>
          </reference>
          <reference field="8" count="1" selected="0">
            <x v="176"/>
          </reference>
        </references>
      </pivotArea>
    </format>
    <format dxfId="632">
      <pivotArea dataOnly="0" labelOnly="1" outline="0" fieldPosition="0">
        <references count="2">
          <reference field="6" count="1">
            <x v="177"/>
          </reference>
          <reference field="8" count="1" selected="0">
            <x v="177"/>
          </reference>
        </references>
      </pivotArea>
    </format>
    <format dxfId="631">
      <pivotArea dataOnly="0" labelOnly="1" outline="0" fieldPosition="0">
        <references count="2">
          <reference field="6" count="1">
            <x v="178"/>
          </reference>
          <reference field="8" count="1" selected="0">
            <x v="178"/>
          </reference>
        </references>
      </pivotArea>
    </format>
    <format dxfId="630">
      <pivotArea dataOnly="0" labelOnly="1" outline="0" fieldPosition="0">
        <references count="2">
          <reference field="6" count="1">
            <x v="179"/>
          </reference>
          <reference field="8" count="1" selected="0">
            <x v="179"/>
          </reference>
        </references>
      </pivotArea>
    </format>
    <format dxfId="629">
      <pivotArea dataOnly="0" labelOnly="1" outline="0" fieldPosition="0">
        <references count="2">
          <reference field="6" count="1">
            <x v="180"/>
          </reference>
          <reference field="8" count="1" selected="0">
            <x v="180"/>
          </reference>
        </references>
      </pivotArea>
    </format>
    <format dxfId="628">
      <pivotArea dataOnly="0" labelOnly="1" outline="0" fieldPosition="0">
        <references count="2">
          <reference field="6" count="1">
            <x v="181"/>
          </reference>
          <reference field="8" count="1" selected="0">
            <x v="181"/>
          </reference>
        </references>
      </pivotArea>
    </format>
    <format dxfId="627">
      <pivotArea dataOnly="0" labelOnly="1" outline="0" fieldPosition="0">
        <references count="2">
          <reference field="6" count="1">
            <x v="182"/>
          </reference>
          <reference field="8" count="1" selected="0">
            <x v="182"/>
          </reference>
        </references>
      </pivotArea>
    </format>
    <format dxfId="626">
      <pivotArea dataOnly="0" labelOnly="1" outline="0" fieldPosition="0">
        <references count="2">
          <reference field="6" count="1">
            <x v="183"/>
          </reference>
          <reference field="8" count="1" selected="0">
            <x v="183"/>
          </reference>
        </references>
      </pivotArea>
    </format>
    <format dxfId="625">
      <pivotArea dataOnly="0" labelOnly="1" outline="0" fieldPosition="0">
        <references count="2">
          <reference field="6" count="1">
            <x v="184"/>
          </reference>
          <reference field="8" count="1" selected="0">
            <x v="184"/>
          </reference>
        </references>
      </pivotArea>
    </format>
    <format dxfId="624">
      <pivotArea dataOnly="0" labelOnly="1" outline="0" fieldPosition="0">
        <references count="2">
          <reference field="6" count="1">
            <x v="185"/>
          </reference>
          <reference field="8" count="1" selected="0">
            <x v="185"/>
          </reference>
        </references>
      </pivotArea>
    </format>
    <format dxfId="623">
      <pivotArea dataOnly="0" labelOnly="1" outline="0" fieldPosition="0">
        <references count="2">
          <reference field="6" count="1">
            <x v="186"/>
          </reference>
          <reference field="8" count="1" selected="0">
            <x v="186"/>
          </reference>
        </references>
      </pivotArea>
    </format>
    <format dxfId="622">
      <pivotArea dataOnly="0" labelOnly="1" outline="0" fieldPosition="0">
        <references count="2">
          <reference field="6" count="1">
            <x v="187"/>
          </reference>
          <reference field="8" count="1" selected="0">
            <x v="187"/>
          </reference>
        </references>
      </pivotArea>
    </format>
    <format dxfId="621">
      <pivotArea dataOnly="0" labelOnly="1" outline="0" fieldPosition="0">
        <references count="2">
          <reference field="6" count="1">
            <x v="188"/>
          </reference>
          <reference field="8" count="1" selected="0">
            <x v="188"/>
          </reference>
        </references>
      </pivotArea>
    </format>
    <format dxfId="620">
      <pivotArea dataOnly="0" labelOnly="1" outline="0" fieldPosition="0">
        <references count="2">
          <reference field="6" count="1">
            <x v="189"/>
          </reference>
          <reference field="8" count="1" selected="0">
            <x v="189"/>
          </reference>
        </references>
      </pivotArea>
    </format>
    <format dxfId="619">
      <pivotArea dataOnly="0" labelOnly="1" outline="0" fieldPosition="0">
        <references count="2">
          <reference field="6" count="1">
            <x v="190"/>
          </reference>
          <reference field="8" count="1" selected="0">
            <x v="190"/>
          </reference>
        </references>
      </pivotArea>
    </format>
    <format dxfId="618">
      <pivotArea dataOnly="0" labelOnly="1" outline="0" fieldPosition="0">
        <references count="2">
          <reference field="6" count="1">
            <x v="191"/>
          </reference>
          <reference field="8" count="1" selected="0">
            <x v="191"/>
          </reference>
        </references>
      </pivotArea>
    </format>
    <format dxfId="617">
      <pivotArea dataOnly="0" labelOnly="1" outline="0" fieldPosition="0">
        <references count="2">
          <reference field="6" count="1">
            <x v="192"/>
          </reference>
          <reference field="8" count="1" selected="0">
            <x v="192"/>
          </reference>
        </references>
      </pivotArea>
    </format>
    <format dxfId="616">
      <pivotArea dataOnly="0" labelOnly="1" outline="0" fieldPosition="0">
        <references count="2">
          <reference field="6" count="1">
            <x v="193"/>
          </reference>
          <reference field="8" count="1" selected="0">
            <x v="193"/>
          </reference>
        </references>
      </pivotArea>
    </format>
    <format dxfId="615">
      <pivotArea dataOnly="0" labelOnly="1" outline="0" fieldPosition="0">
        <references count="2">
          <reference field="6" count="1">
            <x v="194"/>
          </reference>
          <reference field="8" count="1" selected="0">
            <x v="194"/>
          </reference>
        </references>
      </pivotArea>
    </format>
    <format dxfId="614">
      <pivotArea dataOnly="0" labelOnly="1" outline="0" fieldPosition="0">
        <references count="2">
          <reference field="6" count="1">
            <x v="195"/>
          </reference>
          <reference field="8" count="1" selected="0">
            <x v="195"/>
          </reference>
        </references>
      </pivotArea>
    </format>
    <format dxfId="613">
      <pivotArea dataOnly="0" labelOnly="1" outline="0" fieldPosition="0">
        <references count="2">
          <reference field="6" count="1">
            <x v="196"/>
          </reference>
          <reference field="8" count="1" selected="0">
            <x v="196"/>
          </reference>
        </references>
      </pivotArea>
    </format>
    <format dxfId="612">
      <pivotArea dataOnly="0" labelOnly="1" outline="0" fieldPosition="0">
        <references count="2">
          <reference field="6" count="1">
            <x v="197"/>
          </reference>
          <reference field="8" count="1" selected="0">
            <x v="197"/>
          </reference>
        </references>
      </pivotArea>
    </format>
    <format dxfId="611">
      <pivotArea dataOnly="0" labelOnly="1" outline="0" fieldPosition="0">
        <references count="2">
          <reference field="6" count="1">
            <x v="198"/>
          </reference>
          <reference field="8" count="1" selected="0">
            <x v="198"/>
          </reference>
        </references>
      </pivotArea>
    </format>
    <format dxfId="610">
      <pivotArea dataOnly="0" labelOnly="1" outline="0" fieldPosition="0">
        <references count="2">
          <reference field="6" count="1">
            <x v="199"/>
          </reference>
          <reference field="8" count="1" selected="0">
            <x v="199"/>
          </reference>
        </references>
      </pivotArea>
    </format>
    <format dxfId="609">
      <pivotArea dataOnly="0" labelOnly="1" outline="0" fieldPosition="0">
        <references count="2">
          <reference field="6" count="1">
            <x v="200"/>
          </reference>
          <reference field="8" count="1" selected="0">
            <x v="200"/>
          </reference>
        </references>
      </pivotArea>
    </format>
    <format dxfId="608">
      <pivotArea dataOnly="0" labelOnly="1" outline="0" fieldPosition="0">
        <references count="2">
          <reference field="6" count="1">
            <x v="201"/>
          </reference>
          <reference field="8" count="1" selected="0">
            <x v="201"/>
          </reference>
        </references>
      </pivotArea>
    </format>
    <format dxfId="607">
      <pivotArea dataOnly="0" labelOnly="1" outline="0" fieldPosition="0">
        <references count="2">
          <reference field="6" count="1">
            <x v="202"/>
          </reference>
          <reference field="8" count="1" selected="0">
            <x v="202"/>
          </reference>
        </references>
      </pivotArea>
    </format>
    <format dxfId="606">
      <pivotArea dataOnly="0" labelOnly="1" outline="0" fieldPosition="0">
        <references count="2">
          <reference field="6" count="1">
            <x v="203"/>
          </reference>
          <reference field="8" count="1" selected="0">
            <x v="203"/>
          </reference>
        </references>
      </pivotArea>
    </format>
    <format dxfId="605">
      <pivotArea dataOnly="0" labelOnly="1" outline="0" fieldPosition="0">
        <references count="2">
          <reference field="6" count="1">
            <x v="204"/>
          </reference>
          <reference field="8" count="1" selected="0">
            <x v="204"/>
          </reference>
        </references>
      </pivotArea>
    </format>
    <format dxfId="604">
      <pivotArea dataOnly="0" labelOnly="1" outline="0" fieldPosition="0">
        <references count="2">
          <reference field="6" count="1">
            <x v="205"/>
          </reference>
          <reference field="8" count="1" selected="0">
            <x v="205"/>
          </reference>
        </references>
      </pivotArea>
    </format>
    <format dxfId="603">
      <pivotArea dataOnly="0" labelOnly="1" outline="0" fieldPosition="0">
        <references count="2">
          <reference field="6" count="1">
            <x v="206"/>
          </reference>
          <reference field="8" count="1" selected="0">
            <x v="206"/>
          </reference>
        </references>
      </pivotArea>
    </format>
    <format dxfId="602">
      <pivotArea dataOnly="0" labelOnly="1" outline="0" fieldPosition="0">
        <references count="2">
          <reference field="6" count="1">
            <x v="207"/>
          </reference>
          <reference field="8" count="1" selected="0">
            <x v="207"/>
          </reference>
        </references>
      </pivotArea>
    </format>
    <format dxfId="601">
      <pivotArea dataOnly="0" labelOnly="1" outline="0" fieldPosition="0">
        <references count="2">
          <reference field="6" count="1">
            <x v="208"/>
          </reference>
          <reference field="8" count="1" selected="0">
            <x v="208"/>
          </reference>
        </references>
      </pivotArea>
    </format>
    <format dxfId="600">
      <pivotArea dataOnly="0" labelOnly="1" outline="0" fieldPosition="0">
        <references count="2">
          <reference field="6" count="1">
            <x v="209"/>
          </reference>
          <reference field="8" count="1" selected="0">
            <x v="209"/>
          </reference>
        </references>
      </pivotArea>
    </format>
    <format dxfId="599">
      <pivotArea dataOnly="0" labelOnly="1" outline="0" fieldPosition="0">
        <references count="2">
          <reference field="6" count="1">
            <x v="210"/>
          </reference>
          <reference field="8" count="1" selected="0">
            <x v="210"/>
          </reference>
        </references>
      </pivotArea>
    </format>
    <format dxfId="598">
      <pivotArea dataOnly="0" labelOnly="1" outline="0" fieldPosition="0">
        <references count="2">
          <reference field="6" count="1">
            <x v="211"/>
          </reference>
          <reference field="8" count="1" selected="0">
            <x v="211"/>
          </reference>
        </references>
      </pivotArea>
    </format>
    <format dxfId="597">
      <pivotArea dataOnly="0" labelOnly="1" outline="0" fieldPosition="0">
        <references count="2">
          <reference field="6" count="1">
            <x v="212"/>
          </reference>
          <reference field="8" count="1" selected="0">
            <x v="212"/>
          </reference>
        </references>
      </pivotArea>
    </format>
    <format dxfId="596">
      <pivotArea dataOnly="0" labelOnly="1" outline="0" fieldPosition="0">
        <references count="2">
          <reference field="6" count="1">
            <x v="213"/>
          </reference>
          <reference field="8" count="1" selected="0">
            <x v="213"/>
          </reference>
        </references>
      </pivotArea>
    </format>
    <format dxfId="595">
      <pivotArea dataOnly="0" labelOnly="1" outline="0" fieldPosition="0">
        <references count="2">
          <reference field="6" count="1">
            <x v="214"/>
          </reference>
          <reference field="8" count="1" selected="0">
            <x v="214"/>
          </reference>
        </references>
      </pivotArea>
    </format>
    <format dxfId="594">
      <pivotArea dataOnly="0" labelOnly="1" outline="0" fieldPosition="0">
        <references count="2">
          <reference field="6" count="1">
            <x v="215"/>
          </reference>
          <reference field="8" count="1" selected="0">
            <x v="215"/>
          </reference>
        </references>
      </pivotArea>
    </format>
    <format dxfId="593">
      <pivotArea dataOnly="0" labelOnly="1" outline="0" fieldPosition="0">
        <references count="2">
          <reference field="6" count="1">
            <x v="216"/>
          </reference>
          <reference field="8" count="1" selected="0">
            <x v="216"/>
          </reference>
        </references>
      </pivotArea>
    </format>
    <format dxfId="592">
      <pivotArea dataOnly="0" labelOnly="1" outline="0" fieldPosition="0">
        <references count="2">
          <reference field="6" count="1">
            <x v="217"/>
          </reference>
          <reference field="8" count="1" selected="0">
            <x v="217"/>
          </reference>
        </references>
      </pivotArea>
    </format>
    <format dxfId="591">
      <pivotArea dataOnly="0" labelOnly="1" outline="0" fieldPosition="0">
        <references count="2">
          <reference field="6" count="1">
            <x v="218"/>
          </reference>
          <reference field="8" count="1" selected="0">
            <x v="218"/>
          </reference>
        </references>
      </pivotArea>
    </format>
    <format dxfId="590">
      <pivotArea dataOnly="0" labelOnly="1" outline="0" fieldPosition="0">
        <references count="2">
          <reference field="6" count="1">
            <x v="219"/>
          </reference>
          <reference field="8" count="1" selected="0">
            <x v="219"/>
          </reference>
        </references>
      </pivotArea>
    </format>
    <format dxfId="589">
      <pivotArea dataOnly="0" labelOnly="1" outline="0" fieldPosition="0">
        <references count="2">
          <reference field="6" count="1">
            <x v="220"/>
          </reference>
          <reference field="8" count="1" selected="0">
            <x v="220"/>
          </reference>
        </references>
      </pivotArea>
    </format>
    <format dxfId="588">
      <pivotArea dataOnly="0" labelOnly="1" outline="0" fieldPosition="0">
        <references count="2">
          <reference field="6" count="1">
            <x v="221"/>
          </reference>
          <reference field="8" count="1" selected="0">
            <x v="221"/>
          </reference>
        </references>
      </pivotArea>
    </format>
    <format dxfId="587">
      <pivotArea dataOnly="0" labelOnly="1" outline="0" fieldPosition="0">
        <references count="2">
          <reference field="6" count="1">
            <x v="222"/>
          </reference>
          <reference field="8" count="1" selected="0">
            <x v="222"/>
          </reference>
        </references>
      </pivotArea>
    </format>
    <format dxfId="586">
      <pivotArea dataOnly="0" labelOnly="1" outline="0" fieldPosition="0">
        <references count="2">
          <reference field="6" count="1">
            <x v="223"/>
          </reference>
          <reference field="8" count="1" selected="0">
            <x v="223"/>
          </reference>
        </references>
      </pivotArea>
    </format>
    <format dxfId="585">
      <pivotArea dataOnly="0" labelOnly="1" outline="0" fieldPosition="0">
        <references count="2">
          <reference field="6" count="1">
            <x v="224"/>
          </reference>
          <reference field="8" count="1" selected="0">
            <x v="224"/>
          </reference>
        </references>
      </pivotArea>
    </format>
    <format dxfId="584">
      <pivotArea dataOnly="0" labelOnly="1" outline="0" fieldPosition="0">
        <references count="2">
          <reference field="6" count="1">
            <x v="225"/>
          </reference>
          <reference field="8" count="1" selected="0">
            <x v="225"/>
          </reference>
        </references>
      </pivotArea>
    </format>
    <format dxfId="583">
      <pivotArea dataOnly="0" labelOnly="1" outline="0" fieldPosition="0">
        <references count="2">
          <reference field="6" count="1">
            <x v="226"/>
          </reference>
          <reference field="8" count="1" selected="0">
            <x v="226"/>
          </reference>
        </references>
      </pivotArea>
    </format>
    <format dxfId="582">
      <pivotArea dataOnly="0" labelOnly="1" outline="0" fieldPosition="0">
        <references count="2">
          <reference field="6" count="1">
            <x v="227"/>
          </reference>
          <reference field="8" count="1" selected="0">
            <x v="227"/>
          </reference>
        </references>
      </pivotArea>
    </format>
    <format dxfId="581">
      <pivotArea dataOnly="0" labelOnly="1" outline="0" fieldPosition="0">
        <references count="2">
          <reference field="6" count="1">
            <x v="228"/>
          </reference>
          <reference field="8" count="1" selected="0">
            <x v="228"/>
          </reference>
        </references>
      </pivotArea>
    </format>
    <format dxfId="580">
      <pivotArea dataOnly="0" labelOnly="1" outline="0" fieldPosition="0">
        <references count="2">
          <reference field="6" count="1">
            <x v="229"/>
          </reference>
          <reference field="8" count="1" selected="0">
            <x v="229"/>
          </reference>
        </references>
      </pivotArea>
    </format>
    <format dxfId="579">
      <pivotArea dataOnly="0" labelOnly="1" outline="0" fieldPosition="0">
        <references count="2">
          <reference field="6" count="1">
            <x v="230"/>
          </reference>
          <reference field="8" count="1" selected="0">
            <x v="230"/>
          </reference>
        </references>
      </pivotArea>
    </format>
    <format dxfId="578">
      <pivotArea dataOnly="0" labelOnly="1" outline="0" fieldPosition="0">
        <references count="2">
          <reference field="6" count="1">
            <x v="231"/>
          </reference>
          <reference field="8" count="1" selected="0">
            <x v="231"/>
          </reference>
        </references>
      </pivotArea>
    </format>
    <format dxfId="577">
      <pivotArea dataOnly="0" labelOnly="1" outline="0" fieldPosition="0">
        <references count="2">
          <reference field="6" count="1">
            <x v="232"/>
          </reference>
          <reference field="8" count="1" selected="0">
            <x v="232"/>
          </reference>
        </references>
      </pivotArea>
    </format>
    <format dxfId="576">
      <pivotArea dataOnly="0" labelOnly="1" outline="0" fieldPosition="0">
        <references count="2">
          <reference field="6" count="1">
            <x v="233"/>
          </reference>
          <reference field="8" count="1" selected="0">
            <x v="233"/>
          </reference>
        </references>
      </pivotArea>
    </format>
    <format dxfId="575">
      <pivotArea dataOnly="0" labelOnly="1" outline="0" fieldPosition="0">
        <references count="2">
          <reference field="6" count="1">
            <x v="234"/>
          </reference>
          <reference field="8" count="1" selected="0">
            <x v="234"/>
          </reference>
        </references>
      </pivotArea>
    </format>
    <format dxfId="574">
      <pivotArea dataOnly="0" labelOnly="1" outline="0" fieldPosition="0">
        <references count="2">
          <reference field="6" count="1">
            <x v="235"/>
          </reference>
          <reference field="8" count="1" selected="0">
            <x v="235"/>
          </reference>
        </references>
      </pivotArea>
    </format>
    <format dxfId="573">
      <pivotArea dataOnly="0" labelOnly="1" outline="0" fieldPosition="0">
        <references count="2">
          <reference field="6" count="1">
            <x v="236"/>
          </reference>
          <reference field="8" count="1" selected="0">
            <x v="236"/>
          </reference>
        </references>
      </pivotArea>
    </format>
    <format dxfId="572">
      <pivotArea dataOnly="0" labelOnly="1" outline="0" fieldPosition="0">
        <references count="2">
          <reference field="6" count="1">
            <x v="237"/>
          </reference>
          <reference field="8" count="1" selected="0">
            <x v="237"/>
          </reference>
        </references>
      </pivotArea>
    </format>
    <format dxfId="571">
      <pivotArea dataOnly="0" labelOnly="1" outline="0" fieldPosition="0">
        <references count="2">
          <reference field="6" count="1">
            <x v="238"/>
          </reference>
          <reference field="8" count="1" selected="0">
            <x v="238"/>
          </reference>
        </references>
      </pivotArea>
    </format>
    <format dxfId="570">
      <pivotArea dataOnly="0" labelOnly="1" outline="0" fieldPosition="0">
        <references count="2">
          <reference field="6" count="1">
            <x v="239"/>
          </reference>
          <reference field="8" count="1" selected="0">
            <x v="239"/>
          </reference>
        </references>
      </pivotArea>
    </format>
    <format dxfId="569">
      <pivotArea dataOnly="0" labelOnly="1" outline="0" fieldPosition="0">
        <references count="2">
          <reference field="6" count="1">
            <x v="240"/>
          </reference>
          <reference field="8" count="1" selected="0">
            <x v="240"/>
          </reference>
        </references>
      </pivotArea>
    </format>
    <format dxfId="568">
      <pivotArea dataOnly="0" labelOnly="1" outline="0" fieldPosition="0">
        <references count="2">
          <reference field="6" count="1">
            <x v="241"/>
          </reference>
          <reference field="8" count="1" selected="0">
            <x v="241"/>
          </reference>
        </references>
      </pivotArea>
    </format>
    <format dxfId="567">
      <pivotArea dataOnly="0" labelOnly="1" outline="0" fieldPosition="0">
        <references count="2">
          <reference field="6" count="1">
            <x v="242"/>
          </reference>
          <reference field="8" count="1" selected="0">
            <x v="242"/>
          </reference>
        </references>
      </pivotArea>
    </format>
    <format dxfId="566">
      <pivotArea dataOnly="0" labelOnly="1" outline="0" fieldPosition="0">
        <references count="2">
          <reference field="6" count="1">
            <x v="243"/>
          </reference>
          <reference field="8" count="1" selected="0">
            <x v="243"/>
          </reference>
        </references>
      </pivotArea>
    </format>
    <format dxfId="565">
      <pivotArea dataOnly="0" labelOnly="1" outline="0" fieldPosition="0">
        <references count="2">
          <reference field="6" count="1">
            <x v="244"/>
          </reference>
          <reference field="8" count="1" selected="0">
            <x v="244"/>
          </reference>
        </references>
      </pivotArea>
    </format>
    <format dxfId="564">
      <pivotArea dataOnly="0" labelOnly="1" outline="0" fieldPosition="0">
        <references count="2">
          <reference field="6" count="1">
            <x v="245"/>
          </reference>
          <reference field="8" count="1" selected="0">
            <x v="245"/>
          </reference>
        </references>
      </pivotArea>
    </format>
    <format dxfId="563">
      <pivotArea dataOnly="0" labelOnly="1" outline="0" fieldPosition="0">
        <references count="2">
          <reference field="6" count="1">
            <x v="246"/>
          </reference>
          <reference field="8" count="1" selected="0">
            <x v="246"/>
          </reference>
        </references>
      </pivotArea>
    </format>
    <format dxfId="562">
      <pivotArea dataOnly="0" labelOnly="1" outline="0" fieldPosition="0">
        <references count="2">
          <reference field="6" count="1">
            <x v="247"/>
          </reference>
          <reference field="8" count="1" selected="0">
            <x v="247"/>
          </reference>
        </references>
      </pivotArea>
    </format>
    <format dxfId="561">
      <pivotArea dataOnly="0" labelOnly="1" outline="0" fieldPosition="0">
        <references count="2">
          <reference field="6" count="1">
            <x v="248"/>
          </reference>
          <reference field="8" count="1" selected="0">
            <x v="248"/>
          </reference>
        </references>
      </pivotArea>
    </format>
    <format dxfId="560">
      <pivotArea dataOnly="0" labelOnly="1" outline="0" fieldPosition="0">
        <references count="2">
          <reference field="6" count="1">
            <x v="249"/>
          </reference>
          <reference field="8" count="1" selected="0">
            <x v="249"/>
          </reference>
        </references>
      </pivotArea>
    </format>
    <format dxfId="559">
      <pivotArea dataOnly="0" labelOnly="1" outline="0" fieldPosition="0">
        <references count="2">
          <reference field="6" count="1">
            <x v="250"/>
          </reference>
          <reference field="8" count="1" selected="0">
            <x v="250"/>
          </reference>
        </references>
      </pivotArea>
    </format>
    <format dxfId="558">
      <pivotArea dataOnly="0" labelOnly="1" outline="0" fieldPosition="0">
        <references count="2">
          <reference field="6" count="1">
            <x v="251"/>
          </reference>
          <reference field="8" count="1" selected="0">
            <x v="251"/>
          </reference>
        </references>
      </pivotArea>
    </format>
    <format dxfId="557">
      <pivotArea dataOnly="0" labelOnly="1" outline="0" fieldPosition="0">
        <references count="2">
          <reference field="6" count="1">
            <x v="252"/>
          </reference>
          <reference field="8" count="1" selected="0">
            <x v="252"/>
          </reference>
        </references>
      </pivotArea>
    </format>
    <format dxfId="556">
      <pivotArea dataOnly="0" labelOnly="1" outline="0" fieldPosition="0">
        <references count="2">
          <reference field="6" count="1">
            <x v="253"/>
          </reference>
          <reference field="8" count="1" selected="0">
            <x v="253"/>
          </reference>
        </references>
      </pivotArea>
    </format>
    <format dxfId="555">
      <pivotArea dataOnly="0" labelOnly="1" outline="0" fieldPosition="0">
        <references count="2">
          <reference field="6" count="1">
            <x v="254"/>
          </reference>
          <reference field="8" count="1" selected="0">
            <x v="254"/>
          </reference>
        </references>
      </pivotArea>
    </format>
    <format dxfId="554">
      <pivotArea dataOnly="0" labelOnly="1" outline="0" fieldPosition="0">
        <references count="2">
          <reference field="6" count="1">
            <x v="255"/>
          </reference>
          <reference field="8" count="1" selected="0">
            <x v="255"/>
          </reference>
        </references>
      </pivotArea>
    </format>
    <format dxfId="553">
      <pivotArea dataOnly="0" labelOnly="1" outline="0" fieldPosition="0">
        <references count="2">
          <reference field="6" count="1">
            <x v="256"/>
          </reference>
          <reference field="8" count="1" selected="0">
            <x v="256"/>
          </reference>
        </references>
      </pivotArea>
    </format>
    <format dxfId="552">
      <pivotArea dataOnly="0" labelOnly="1" outline="0" fieldPosition="0">
        <references count="2">
          <reference field="6" count="1">
            <x v="257"/>
          </reference>
          <reference field="8" count="1" selected="0">
            <x v="257"/>
          </reference>
        </references>
      </pivotArea>
    </format>
    <format dxfId="551">
      <pivotArea dataOnly="0" labelOnly="1" outline="0" fieldPosition="0">
        <references count="2">
          <reference field="6" count="1">
            <x v="258"/>
          </reference>
          <reference field="8" count="1" selected="0">
            <x v="258"/>
          </reference>
        </references>
      </pivotArea>
    </format>
    <format dxfId="550">
      <pivotArea dataOnly="0" labelOnly="1" outline="0" fieldPosition="0">
        <references count="2">
          <reference field="6" count="1">
            <x v="259"/>
          </reference>
          <reference field="8" count="1" selected="0">
            <x v="259"/>
          </reference>
        </references>
      </pivotArea>
    </format>
    <format dxfId="549">
      <pivotArea dataOnly="0" labelOnly="1" outline="0" fieldPosition="0">
        <references count="2">
          <reference field="6" count="1">
            <x v="260"/>
          </reference>
          <reference field="8" count="1" selected="0">
            <x v="260"/>
          </reference>
        </references>
      </pivotArea>
    </format>
    <format dxfId="548">
      <pivotArea dataOnly="0" labelOnly="1" outline="0" fieldPosition="0">
        <references count="2">
          <reference field="6" count="1">
            <x v="265"/>
          </reference>
          <reference field="8" count="1" selected="0">
            <x v="261"/>
          </reference>
        </references>
      </pivotArea>
    </format>
    <format dxfId="547">
      <pivotArea dataOnly="0" labelOnly="1" outline="0" fieldPosition="0">
        <references count="2">
          <reference field="6" count="1">
            <x v="261"/>
          </reference>
          <reference field="8" count="1" selected="0">
            <x v="262"/>
          </reference>
        </references>
      </pivotArea>
    </format>
    <format dxfId="546">
      <pivotArea dataOnly="0" labelOnly="1" outline="0" fieldPosition="0">
        <references count="2">
          <reference field="6" count="1">
            <x v="262"/>
          </reference>
          <reference field="8" count="1" selected="0">
            <x v="263"/>
          </reference>
        </references>
      </pivotArea>
    </format>
    <format dxfId="545">
      <pivotArea dataOnly="0" labelOnly="1" outline="0" fieldPosition="0">
        <references count="2">
          <reference field="6" count="1">
            <x v="263"/>
          </reference>
          <reference field="8" count="1" selected="0">
            <x v="264"/>
          </reference>
        </references>
      </pivotArea>
    </format>
    <format dxfId="544">
      <pivotArea dataOnly="0" labelOnly="1" outline="0" fieldPosition="0">
        <references count="2">
          <reference field="6" count="1">
            <x v="264"/>
          </reference>
          <reference field="8" count="1" selected="0">
            <x v="265"/>
          </reference>
        </references>
      </pivotArea>
    </format>
    <format dxfId="543">
      <pivotArea dataOnly="0" labelOnly="1" outline="0" fieldPosition="0">
        <references count="2">
          <reference field="6" count="1">
            <x v="266"/>
          </reference>
          <reference field="8" count="1" selected="0">
            <x v="266"/>
          </reference>
        </references>
      </pivotArea>
    </format>
    <format dxfId="542">
      <pivotArea dataOnly="0" labelOnly="1" outline="0" fieldPosition="0">
        <references count="2">
          <reference field="6" count="1">
            <x v="267"/>
          </reference>
          <reference field="8" count="1" selected="0">
            <x v="267"/>
          </reference>
        </references>
      </pivotArea>
    </format>
    <format dxfId="541">
      <pivotArea dataOnly="0" labelOnly="1" outline="0" fieldPosition="0">
        <references count="2">
          <reference field="6" count="1">
            <x v="268"/>
          </reference>
          <reference field="8" count="1" selected="0">
            <x v="268"/>
          </reference>
        </references>
      </pivotArea>
    </format>
    <format dxfId="540">
      <pivotArea dataOnly="0" labelOnly="1" outline="0" fieldPosition="0">
        <references count="2">
          <reference field="6" count="1">
            <x v="269"/>
          </reference>
          <reference field="8" count="1" selected="0">
            <x v="269"/>
          </reference>
        </references>
      </pivotArea>
    </format>
    <format dxfId="539">
      <pivotArea dataOnly="0" labelOnly="1" outline="0" fieldPosition="0">
        <references count="2">
          <reference field="6" count="1">
            <x v="270"/>
          </reference>
          <reference field="8" count="1" selected="0">
            <x v="270"/>
          </reference>
        </references>
      </pivotArea>
    </format>
    <format dxfId="538">
      <pivotArea dataOnly="0" labelOnly="1" outline="0" fieldPosition="0">
        <references count="2">
          <reference field="6" count="1">
            <x v="271"/>
          </reference>
          <reference field="8" count="1" selected="0">
            <x v="271"/>
          </reference>
        </references>
      </pivotArea>
    </format>
    <format dxfId="537">
      <pivotArea dataOnly="0" labelOnly="1" outline="0" fieldPosition="0">
        <references count="2">
          <reference field="6" count="1">
            <x v="272"/>
          </reference>
          <reference field="8" count="1" selected="0">
            <x v="272"/>
          </reference>
        </references>
      </pivotArea>
    </format>
    <format dxfId="536">
      <pivotArea dataOnly="0" labelOnly="1" outline="0" fieldPosition="0">
        <references count="2">
          <reference field="6" count="1">
            <x v="273"/>
          </reference>
          <reference field="8" count="1" selected="0">
            <x v="273"/>
          </reference>
        </references>
      </pivotArea>
    </format>
    <format dxfId="535">
      <pivotArea dataOnly="0" labelOnly="1" outline="0" fieldPosition="0">
        <references count="2">
          <reference field="6" count="1">
            <x v="274"/>
          </reference>
          <reference field="8" count="1" selected="0">
            <x v="274"/>
          </reference>
        </references>
      </pivotArea>
    </format>
    <format dxfId="534">
      <pivotArea dataOnly="0" labelOnly="1" outline="0" fieldPosition="0">
        <references count="2">
          <reference field="6" count="1">
            <x v="275"/>
          </reference>
          <reference field="8" count="1" selected="0">
            <x v="275"/>
          </reference>
        </references>
      </pivotArea>
    </format>
    <format dxfId="533">
      <pivotArea dataOnly="0" labelOnly="1" outline="0" fieldPosition="0">
        <references count="2">
          <reference field="6" count="1">
            <x v="276"/>
          </reference>
          <reference field="8" count="1" selected="0">
            <x v="276"/>
          </reference>
        </references>
      </pivotArea>
    </format>
    <format dxfId="532">
      <pivotArea dataOnly="0" labelOnly="1" outline="0" fieldPosition="0">
        <references count="2">
          <reference field="6" count="1">
            <x v="277"/>
          </reference>
          <reference field="8" count="1" selected="0">
            <x v="277"/>
          </reference>
        </references>
      </pivotArea>
    </format>
    <format dxfId="531">
      <pivotArea dataOnly="0" labelOnly="1" outline="0" fieldPosition="0">
        <references count="2">
          <reference field="6" count="1">
            <x v="278"/>
          </reference>
          <reference field="8" count="1" selected="0">
            <x v="278"/>
          </reference>
        </references>
      </pivotArea>
    </format>
    <format dxfId="530">
      <pivotArea dataOnly="0" labelOnly="1" outline="0" fieldPosition="0">
        <references count="2">
          <reference field="6" count="1">
            <x v="279"/>
          </reference>
          <reference field="8" count="1" selected="0">
            <x v="279"/>
          </reference>
        </references>
      </pivotArea>
    </format>
    <format dxfId="529">
      <pivotArea dataOnly="0" labelOnly="1" outline="0" fieldPosition="0">
        <references count="2">
          <reference field="6" count="1">
            <x v="280"/>
          </reference>
          <reference field="8" count="1" selected="0">
            <x v="280"/>
          </reference>
        </references>
      </pivotArea>
    </format>
    <format dxfId="528">
      <pivotArea dataOnly="0" labelOnly="1" outline="0" fieldPosition="0">
        <references count="2">
          <reference field="6" count="1">
            <x v="281"/>
          </reference>
          <reference field="8" count="1" selected="0">
            <x v="281"/>
          </reference>
        </references>
      </pivotArea>
    </format>
    <format dxfId="527">
      <pivotArea dataOnly="0" labelOnly="1" outline="0" fieldPosition="0">
        <references count="2">
          <reference field="6" count="1">
            <x v="282"/>
          </reference>
          <reference field="8" count="1" selected="0">
            <x v="282"/>
          </reference>
        </references>
      </pivotArea>
    </format>
    <format dxfId="526">
      <pivotArea dataOnly="0" labelOnly="1" outline="0" fieldPosition="0">
        <references count="2">
          <reference field="6" count="1">
            <x v="283"/>
          </reference>
          <reference field="8" count="1" selected="0">
            <x v="283"/>
          </reference>
        </references>
      </pivotArea>
    </format>
    <format dxfId="525">
      <pivotArea dataOnly="0" labelOnly="1" outline="0" fieldPosition="0">
        <references count="2">
          <reference field="6" count="1">
            <x v="284"/>
          </reference>
          <reference field="8" count="1" selected="0">
            <x v="284"/>
          </reference>
        </references>
      </pivotArea>
    </format>
    <format dxfId="524">
      <pivotArea dataOnly="0" labelOnly="1" outline="0" fieldPosition="0">
        <references count="2">
          <reference field="6" count="1">
            <x v="285"/>
          </reference>
          <reference field="8" count="1" selected="0">
            <x v="285"/>
          </reference>
        </references>
      </pivotArea>
    </format>
    <format dxfId="523">
      <pivotArea dataOnly="0" labelOnly="1" outline="0" fieldPosition="0">
        <references count="2">
          <reference field="6" count="1">
            <x v="286"/>
          </reference>
          <reference field="8" count="1" selected="0">
            <x v="286"/>
          </reference>
        </references>
      </pivotArea>
    </format>
    <format dxfId="522">
      <pivotArea dataOnly="0" labelOnly="1" outline="0" fieldPosition="0">
        <references count="2">
          <reference field="6" count="1">
            <x v="287"/>
          </reference>
          <reference field="8" count="1" selected="0">
            <x v="287"/>
          </reference>
        </references>
      </pivotArea>
    </format>
    <format dxfId="521">
      <pivotArea dataOnly="0" labelOnly="1" outline="0" fieldPosition="0">
        <references count="2">
          <reference field="6" count="1">
            <x v="288"/>
          </reference>
          <reference field="8" count="1" selected="0">
            <x v="288"/>
          </reference>
        </references>
      </pivotArea>
    </format>
    <format dxfId="520">
      <pivotArea dataOnly="0" labelOnly="1" outline="0" fieldPosition="0">
        <references count="2">
          <reference field="6" count="1">
            <x v="289"/>
          </reference>
          <reference field="8" count="1" selected="0">
            <x v="289"/>
          </reference>
        </references>
      </pivotArea>
    </format>
    <format dxfId="519">
      <pivotArea dataOnly="0" labelOnly="1" outline="0" fieldPosition="0">
        <references count="2">
          <reference field="6" count="1">
            <x v="290"/>
          </reference>
          <reference field="8" count="1" selected="0">
            <x v="290"/>
          </reference>
        </references>
      </pivotArea>
    </format>
    <format dxfId="518">
      <pivotArea dataOnly="0" labelOnly="1" outline="0" fieldPosition="0">
        <references count="2">
          <reference field="6" count="1">
            <x v="291"/>
          </reference>
          <reference field="8" count="1" selected="0">
            <x v="291"/>
          </reference>
        </references>
      </pivotArea>
    </format>
    <format dxfId="517">
      <pivotArea dataOnly="0" labelOnly="1" outline="0" fieldPosition="0">
        <references count="2">
          <reference field="6" count="1">
            <x v="292"/>
          </reference>
          <reference field="8" count="1" selected="0">
            <x v="292"/>
          </reference>
        </references>
      </pivotArea>
    </format>
    <format dxfId="516">
      <pivotArea dataOnly="0" labelOnly="1" outline="0" fieldPosition="0">
        <references count="2">
          <reference field="6" count="1">
            <x v="293"/>
          </reference>
          <reference field="8" count="1" selected="0">
            <x v="293"/>
          </reference>
        </references>
      </pivotArea>
    </format>
    <format dxfId="515">
      <pivotArea dataOnly="0" labelOnly="1" outline="0" fieldPosition="0">
        <references count="2">
          <reference field="6" count="1">
            <x v="294"/>
          </reference>
          <reference field="8" count="1" selected="0">
            <x v="294"/>
          </reference>
        </references>
      </pivotArea>
    </format>
    <format dxfId="514">
      <pivotArea dataOnly="0" labelOnly="1" outline="0" fieldPosition="0">
        <references count="2">
          <reference field="6" count="1">
            <x v="295"/>
          </reference>
          <reference field="8" count="1" selected="0">
            <x v="295"/>
          </reference>
        </references>
      </pivotArea>
    </format>
    <format dxfId="513">
      <pivotArea dataOnly="0" labelOnly="1" outline="0" fieldPosition="0">
        <references count="2">
          <reference field="6" count="1">
            <x v="296"/>
          </reference>
          <reference field="8" count="1" selected="0">
            <x v="296"/>
          </reference>
        </references>
      </pivotArea>
    </format>
    <format dxfId="512">
      <pivotArea dataOnly="0" labelOnly="1" outline="0" fieldPosition="0">
        <references count="2">
          <reference field="6" count="1">
            <x v="297"/>
          </reference>
          <reference field="8" count="1" selected="0">
            <x v="297"/>
          </reference>
        </references>
      </pivotArea>
    </format>
    <format dxfId="511">
      <pivotArea dataOnly="0" labelOnly="1" outline="0" fieldPosition="0">
        <references count="2">
          <reference field="6" count="1">
            <x v="298"/>
          </reference>
          <reference field="8" count="1" selected="0">
            <x v="298"/>
          </reference>
        </references>
      </pivotArea>
    </format>
    <format dxfId="510">
      <pivotArea dataOnly="0" labelOnly="1" outline="0" fieldPosition="0">
        <references count="2">
          <reference field="6" count="1">
            <x v="299"/>
          </reference>
          <reference field="8" count="1" selected="0">
            <x v="299"/>
          </reference>
        </references>
      </pivotArea>
    </format>
    <format dxfId="509">
      <pivotArea dataOnly="0" labelOnly="1" outline="0" fieldPosition="0">
        <references count="2">
          <reference field="6" count="1">
            <x v="300"/>
          </reference>
          <reference field="8" count="1" selected="0">
            <x v="300"/>
          </reference>
        </references>
      </pivotArea>
    </format>
    <format dxfId="508">
      <pivotArea dataOnly="0" labelOnly="1" outline="0" fieldPosition="0">
        <references count="2">
          <reference field="6" count="1">
            <x v="301"/>
          </reference>
          <reference field="8" count="1" selected="0">
            <x v="301"/>
          </reference>
        </references>
      </pivotArea>
    </format>
    <format dxfId="507">
      <pivotArea dataOnly="0" labelOnly="1" outline="0" fieldPosition="0">
        <references count="2">
          <reference field="6" count="1">
            <x v="302"/>
          </reference>
          <reference field="8" count="1" selected="0">
            <x v="302"/>
          </reference>
        </references>
      </pivotArea>
    </format>
    <format dxfId="506">
      <pivotArea dataOnly="0" labelOnly="1" outline="0" fieldPosition="0">
        <references count="2">
          <reference field="6" count="1">
            <x v="303"/>
          </reference>
          <reference field="8" count="1" selected="0">
            <x v="303"/>
          </reference>
        </references>
      </pivotArea>
    </format>
    <format dxfId="505">
      <pivotArea dataOnly="0" labelOnly="1" outline="0" fieldPosition="0">
        <references count="2">
          <reference field="6" count="1">
            <x v="304"/>
          </reference>
          <reference field="8" count="1" selected="0">
            <x v="304"/>
          </reference>
        </references>
      </pivotArea>
    </format>
    <format dxfId="504">
      <pivotArea dataOnly="0" labelOnly="1" outline="0" fieldPosition="0">
        <references count="2">
          <reference field="6" count="1">
            <x v="305"/>
          </reference>
          <reference field="8" count="1" selected="0">
            <x v="305"/>
          </reference>
        </references>
      </pivotArea>
    </format>
    <format dxfId="503">
      <pivotArea dataOnly="0" labelOnly="1" outline="0" fieldPosition="0">
        <references count="2">
          <reference field="6" count="1">
            <x v="306"/>
          </reference>
          <reference field="8" count="1" selected="0">
            <x v="306"/>
          </reference>
        </references>
      </pivotArea>
    </format>
    <format dxfId="502">
      <pivotArea dataOnly="0" labelOnly="1" outline="0" fieldPosition="0">
        <references count="2">
          <reference field="6" count="1">
            <x v="307"/>
          </reference>
          <reference field="8" count="1" selected="0">
            <x v="307"/>
          </reference>
        </references>
      </pivotArea>
    </format>
    <format dxfId="501">
      <pivotArea dataOnly="0" labelOnly="1" outline="0" fieldPosition="0">
        <references count="2">
          <reference field="6" count="1">
            <x v="308"/>
          </reference>
          <reference field="8" count="1" selected="0">
            <x v="308"/>
          </reference>
        </references>
      </pivotArea>
    </format>
    <format dxfId="500">
      <pivotArea dataOnly="0" labelOnly="1" outline="0" fieldPosition="0">
        <references count="2">
          <reference field="6" count="1">
            <x v="309"/>
          </reference>
          <reference field="8" count="1" selected="0">
            <x v="309"/>
          </reference>
        </references>
      </pivotArea>
    </format>
    <format dxfId="499">
      <pivotArea dataOnly="0" labelOnly="1" outline="0" fieldPosition="0">
        <references count="2">
          <reference field="6" count="1">
            <x v="310"/>
          </reference>
          <reference field="8" count="1" selected="0">
            <x v="310"/>
          </reference>
        </references>
      </pivotArea>
    </format>
    <format dxfId="498">
      <pivotArea dataOnly="0" labelOnly="1" outline="0" fieldPosition="0">
        <references count="2">
          <reference field="6" count="1">
            <x v="311"/>
          </reference>
          <reference field="8" count="1" selected="0">
            <x v="311"/>
          </reference>
        </references>
      </pivotArea>
    </format>
    <format dxfId="497">
      <pivotArea dataOnly="0" labelOnly="1" outline="0" fieldPosition="0">
        <references count="3">
          <reference field="6" count="1" selected="0">
            <x v="0"/>
          </reference>
          <reference field="8" count="1" selected="0">
            <x v="0"/>
          </reference>
          <reference field="9" count="1">
            <x v="0"/>
          </reference>
        </references>
      </pivotArea>
    </format>
    <format dxfId="496">
      <pivotArea dataOnly="0" labelOnly="1" outline="0" fieldPosition="0">
        <references count="3">
          <reference field="6" count="1" selected="0">
            <x v="3"/>
          </reference>
          <reference field="8" count="1" selected="0">
            <x v="3"/>
          </reference>
          <reference field="9" count="1">
            <x v="1"/>
          </reference>
        </references>
      </pivotArea>
    </format>
    <format dxfId="495">
      <pivotArea dataOnly="0" labelOnly="1" outline="0" fieldPosition="0">
        <references count="3">
          <reference field="6" count="1" selected="0">
            <x v="6"/>
          </reference>
          <reference field="8" count="1" selected="0">
            <x v="6"/>
          </reference>
          <reference field="9" count="1">
            <x v="2"/>
          </reference>
        </references>
      </pivotArea>
    </format>
    <format dxfId="494">
      <pivotArea dataOnly="0" labelOnly="1" outline="0" fieldPosition="0">
        <references count="3">
          <reference field="6" count="1" selected="0">
            <x v="8"/>
          </reference>
          <reference field="8" count="1" selected="0">
            <x v="8"/>
          </reference>
          <reference field="9" count="1">
            <x v="3"/>
          </reference>
        </references>
      </pivotArea>
    </format>
    <format dxfId="493">
      <pivotArea dataOnly="0" labelOnly="1" outline="0" fieldPosition="0">
        <references count="3">
          <reference field="6" count="1" selected="0">
            <x v="11"/>
          </reference>
          <reference field="8" count="1" selected="0">
            <x v="11"/>
          </reference>
          <reference field="9" count="1">
            <x v="4"/>
          </reference>
        </references>
      </pivotArea>
    </format>
    <format dxfId="492">
      <pivotArea dataOnly="0" labelOnly="1" outline="0" fieldPosition="0">
        <references count="3">
          <reference field="6" count="1" selected="0">
            <x v="13"/>
          </reference>
          <reference field="8" count="1" selected="0">
            <x v="13"/>
          </reference>
          <reference field="9" count="1">
            <x v="5"/>
          </reference>
        </references>
      </pivotArea>
    </format>
    <format dxfId="491">
      <pivotArea dataOnly="0" labelOnly="1" outline="0" fieldPosition="0">
        <references count="3">
          <reference field="6" count="1" selected="0">
            <x v="16"/>
          </reference>
          <reference field="8" count="1" selected="0">
            <x v="16"/>
          </reference>
          <reference field="9" count="1">
            <x v="6"/>
          </reference>
        </references>
      </pivotArea>
    </format>
    <format dxfId="490">
      <pivotArea dataOnly="0" labelOnly="1" outline="0" fieldPosition="0">
        <references count="3">
          <reference field="6" count="1" selected="0">
            <x v="19"/>
          </reference>
          <reference field="8" count="1" selected="0">
            <x v="19"/>
          </reference>
          <reference field="9" count="1">
            <x v="7"/>
          </reference>
        </references>
      </pivotArea>
    </format>
    <format dxfId="489">
      <pivotArea dataOnly="0" labelOnly="1" outline="0" fieldPosition="0">
        <references count="3">
          <reference field="6" count="1" selected="0">
            <x v="22"/>
          </reference>
          <reference field="8" count="1" selected="0">
            <x v="22"/>
          </reference>
          <reference field="9" count="1">
            <x v="8"/>
          </reference>
        </references>
      </pivotArea>
    </format>
    <format dxfId="488">
      <pivotArea dataOnly="0" labelOnly="1" outline="0" fieldPosition="0">
        <references count="3">
          <reference field="6" count="1" selected="0">
            <x v="24"/>
          </reference>
          <reference field="8" count="1" selected="0">
            <x v="24"/>
          </reference>
          <reference field="9" count="1">
            <x v="9"/>
          </reference>
        </references>
      </pivotArea>
    </format>
    <format dxfId="487">
      <pivotArea dataOnly="0" labelOnly="1" outline="0" fieldPosition="0">
        <references count="3">
          <reference field="6" count="1" selected="0">
            <x v="28"/>
          </reference>
          <reference field="8" count="1" selected="0">
            <x v="28"/>
          </reference>
          <reference field="9" count="1">
            <x v="10"/>
          </reference>
        </references>
      </pivotArea>
    </format>
    <format dxfId="486">
      <pivotArea dataOnly="0" labelOnly="1" outline="0" fieldPosition="0">
        <references count="3">
          <reference field="6" count="1" selected="0">
            <x v="30"/>
          </reference>
          <reference field="8" count="1" selected="0">
            <x v="30"/>
          </reference>
          <reference field="9" count="1">
            <x v="11"/>
          </reference>
        </references>
      </pivotArea>
    </format>
    <format dxfId="485">
      <pivotArea dataOnly="0" labelOnly="1" outline="0" fieldPosition="0">
        <references count="3">
          <reference field="6" count="1" selected="0">
            <x v="33"/>
          </reference>
          <reference field="8" count="1" selected="0">
            <x v="33"/>
          </reference>
          <reference field="9" count="1">
            <x v="12"/>
          </reference>
        </references>
      </pivotArea>
    </format>
    <format dxfId="484">
      <pivotArea dataOnly="0" labelOnly="1" outline="0" fieldPosition="0">
        <references count="3">
          <reference field="6" count="1" selected="0">
            <x v="35"/>
          </reference>
          <reference field="8" count="1" selected="0">
            <x v="35"/>
          </reference>
          <reference field="9" count="1">
            <x v="13"/>
          </reference>
        </references>
      </pivotArea>
    </format>
    <format dxfId="483">
      <pivotArea dataOnly="0" labelOnly="1" outline="0" fieldPosition="0">
        <references count="3">
          <reference field="6" count="1" selected="0">
            <x v="37"/>
          </reference>
          <reference field="8" count="1" selected="0">
            <x v="37"/>
          </reference>
          <reference field="9" count="1">
            <x v="14"/>
          </reference>
        </references>
      </pivotArea>
    </format>
    <format dxfId="482">
      <pivotArea dataOnly="0" labelOnly="1" outline="0" fieldPosition="0">
        <references count="3">
          <reference field="6" count="1" selected="0">
            <x v="42"/>
          </reference>
          <reference field="8" count="1" selected="0">
            <x v="42"/>
          </reference>
          <reference field="9" count="1">
            <x v="15"/>
          </reference>
        </references>
      </pivotArea>
    </format>
    <format dxfId="481">
      <pivotArea dataOnly="0" labelOnly="1" outline="0" fieldPosition="0">
        <references count="3">
          <reference field="6" count="1" selected="0">
            <x v="47"/>
          </reference>
          <reference field="8" count="1" selected="0">
            <x v="47"/>
          </reference>
          <reference field="9" count="1">
            <x v="16"/>
          </reference>
        </references>
      </pivotArea>
    </format>
    <format dxfId="480">
      <pivotArea dataOnly="0" labelOnly="1" outline="0" fieldPosition="0">
        <references count="3">
          <reference field="6" count="1" selected="0">
            <x v="48"/>
          </reference>
          <reference field="8" count="1" selected="0">
            <x v="48"/>
          </reference>
          <reference field="9" count="1">
            <x v="17"/>
          </reference>
        </references>
      </pivotArea>
    </format>
    <format dxfId="479">
      <pivotArea dataOnly="0" labelOnly="1" outline="0" fieldPosition="0">
        <references count="3">
          <reference field="6" count="1" selected="0">
            <x v="49"/>
          </reference>
          <reference field="8" count="1" selected="0">
            <x v="49"/>
          </reference>
          <reference field="9" count="1">
            <x v="18"/>
          </reference>
        </references>
      </pivotArea>
    </format>
    <format dxfId="478">
      <pivotArea dataOnly="0" labelOnly="1" outline="0" fieldPosition="0">
        <references count="3">
          <reference field="6" count="1" selected="0">
            <x v="50"/>
          </reference>
          <reference field="8" count="1" selected="0">
            <x v="50"/>
          </reference>
          <reference field="9" count="1">
            <x v="19"/>
          </reference>
        </references>
      </pivotArea>
    </format>
    <format dxfId="477">
      <pivotArea dataOnly="0" labelOnly="1" outline="0" fieldPosition="0">
        <references count="3">
          <reference field="6" count="1" selected="0">
            <x v="51"/>
          </reference>
          <reference field="8" count="1" selected="0">
            <x v="51"/>
          </reference>
          <reference field="9" count="1">
            <x v="20"/>
          </reference>
        </references>
      </pivotArea>
    </format>
    <format dxfId="476">
      <pivotArea dataOnly="0" labelOnly="1" outline="0" fieldPosition="0">
        <references count="3">
          <reference field="6" count="1" selected="0">
            <x v="52"/>
          </reference>
          <reference field="8" count="1" selected="0">
            <x v="52"/>
          </reference>
          <reference field="9" count="1">
            <x v="21"/>
          </reference>
        </references>
      </pivotArea>
    </format>
    <format dxfId="475">
      <pivotArea dataOnly="0" labelOnly="1" outline="0" fieldPosition="0">
        <references count="3">
          <reference field="6" count="1" selected="0">
            <x v="53"/>
          </reference>
          <reference field="8" count="1" selected="0">
            <x v="53"/>
          </reference>
          <reference field="9" count="1">
            <x v="22"/>
          </reference>
        </references>
      </pivotArea>
    </format>
    <format dxfId="474">
      <pivotArea dataOnly="0" labelOnly="1" outline="0" fieldPosition="0">
        <references count="3">
          <reference field="6" count="1" selected="0">
            <x v="54"/>
          </reference>
          <reference field="8" count="1" selected="0">
            <x v="54"/>
          </reference>
          <reference field="9" count="1">
            <x v="23"/>
          </reference>
        </references>
      </pivotArea>
    </format>
    <format dxfId="473">
      <pivotArea dataOnly="0" labelOnly="1" outline="0" fieldPosition="0">
        <references count="3">
          <reference field="6" count="1" selected="0">
            <x v="55"/>
          </reference>
          <reference field="8" count="1" selected="0">
            <x v="55"/>
          </reference>
          <reference field="9" count="1">
            <x v="24"/>
          </reference>
        </references>
      </pivotArea>
    </format>
    <format dxfId="472">
      <pivotArea dataOnly="0" labelOnly="1" outline="0" fieldPosition="0">
        <references count="3">
          <reference field="6" count="1" selected="0">
            <x v="58"/>
          </reference>
          <reference field="8" count="1" selected="0">
            <x v="58"/>
          </reference>
          <reference field="9" count="1">
            <x v="25"/>
          </reference>
        </references>
      </pivotArea>
    </format>
    <format dxfId="471">
      <pivotArea dataOnly="0" labelOnly="1" outline="0" fieldPosition="0">
        <references count="3">
          <reference field="6" count="1" selected="0">
            <x v="61"/>
          </reference>
          <reference field="8" count="1" selected="0">
            <x v="61"/>
          </reference>
          <reference field="9" count="1">
            <x v="26"/>
          </reference>
        </references>
      </pivotArea>
    </format>
    <format dxfId="470">
      <pivotArea dataOnly="0" labelOnly="1" outline="0" fieldPosition="0">
        <references count="3">
          <reference field="6" count="1" selected="0">
            <x v="63"/>
          </reference>
          <reference field="8" count="1" selected="0">
            <x v="63"/>
          </reference>
          <reference field="9" count="1">
            <x v="27"/>
          </reference>
        </references>
      </pivotArea>
    </format>
    <format dxfId="469">
      <pivotArea dataOnly="0" labelOnly="1" outline="0" fieldPosition="0">
        <references count="3">
          <reference field="6" count="1" selected="0">
            <x v="66"/>
          </reference>
          <reference field="8" count="1" selected="0">
            <x v="66"/>
          </reference>
          <reference field="9" count="1">
            <x v="28"/>
          </reference>
        </references>
      </pivotArea>
    </format>
    <format dxfId="468">
      <pivotArea dataOnly="0" labelOnly="1" outline="0" fieldPosition="0">
        <references count="3">
          <reference field="6" count="1" selected="0">
            <x v="67"/>
          </reference>
          <reference field="8" count="1" selected="0">
            <x v="67"/>
          </reference>
          <reference field="9" count="1">
            <x v="29"/>
          </reference>
        </references>
      </pivotArea>
    </format>
    <format dxfId="467">
      <pivotArea dataOnly="0" labelOnly="1" outline="0" fieldPosition="0">
        <references count="3">
          <reference field="6" count="1" selected="0">
            <x v="68"/>
          </reference>
          <reference field="8" count="1" selected="0">
            <x v="68"/>
          </reference>
          <reference field="9" count="1">
            <x v="30"/>
          </reference>
        </references>
      </pivotArea>
    </format>
    <format dxfId="466">
      <pivotArea dataOnly="0" labelOnly="1" outline="0" fieldPosition="0">
        <references count="3">
          <reference field="6" count="1" selected="0">
            <x v="69"/>
          </reference>
          <reference field="8" count="1" selected="0">
            <x v="69"/>
          </reference>
          <reference field="9" count="1">
            <x v="31"/>
          </reference>
        </references>
      </pivotArea>
    </format>
    <format dxfId="465">
      <pivotArea dataOnly="0" labelOnly="1" outline="0" fieldPosition="0">
        <references count="3">
          <reference field="6" count="1" selected="0">
            <x v="70"/>
          </reference>
          <reference field="8" count="1" selected="0">
            <x v="70"/>
          </reference>
          <reference field="9" count="1">
            <x v="32"/>
          </reference>
        </references>
      </pivotArea>
    </format>
    <format dxfId="464">
      <pivotArea dataOnly="0" labelOnly="1" outline="0" fieldPosition="0">
        <references count="3">
          <reference field="6" count="1" selected="0">
            <x v="72"/>
          </reference>
          <reference field="8" count="1" selected="0">
            <x v="72"/>
          </reference>
          <reference field="9" count="1">
            <x v="33"/>
          </reference>
        </references>
      </pivotArea>
    </format>
    <format dxfId="463">
      <pivotArea dataOnly="0" labelOnly="1" outline="0" fieldPosition="0">
        <references count="3">
          <reference field="6" count="1" selected="0">
            <x v="74"/>
          </reference>
          <reference field="8" count="1" selected="0">
            <x v="74"/>
          </reference>
          <reference field="9" count="1">
            <x v="34"/>
          </reference>
        </references>
      </pivotArea>
    </format>
    <format dxfId="462">
      <pivotArea dataOnly="0" labelOnly="1" outline="0" fieldPosition="0">
        <references count="3">
          <reference field="6" count="1" selected="0">
            <x v="75"/>
          </reference>
          <reference field="8" count="1" selected="0">
            <x v="75"/>
          </reference>
          <reference field="9" count="1">
            <x v="35"/>
          </reference>
        </references>
      </pivotArea>
    </format>
    <format dxfId="461">
      <pivotArea dataOnly="0" labelOnly="1" outline="0" fieldPosition="0">
        <references count="3">
          <reference field="6" count="1" selected="0">
            <x v="78"/>
          </reference>
          <reference field="8" count="1" selected="0">
            <x v="76"/>
          </reference>
          <reference field="9" count="1">
            <x v="37"/>
          </reference>
        </references>
      </pivotArea>
    </format>
    <format dxfId="460">
      <pivotArea dataOnly="0" labelOnly="1" outline="0" fieldPosition="0">
        <references count="3">
          <reference field="6" count="1" selected="0">
            <x v="76"/>
          </reference>
          <reference field="8" count="1" selected="0">
            <x v="78"/>
          </reference>
          <reference field="9" count="1">
            <x v="36"/>
          </reference>
        </references>
      </pivotArea>
    </format>
    <format dxfId="459">
      <pivotArea dataOnly="0" labelOnly="1" outline="0" fieldPosition="0">
        <references count="3">
          <reference field="6" count="1" selected="0">
            <x v="80"/>
          </reference>
          <reference field="8" count="1" selected="0">
            <x v="80"/>
          </reference>
          <reference field="9" count="1">
            <x v="38"/>
          </reference>
        </references>
      </pivotArea>
    </format>
    <format dxfId="458">
      <pivotArea dataOnly="0" labelOnly="1" outline="0" fieldPosition="0">
        <references count="3">
          <reference field="6" count="1" selected="0">
            <x v="83"/>
          </reference>
          <reference field="8" count="1" selected="0">
            <x v="83"/>
          </reference>
          <reference field="9" count="1">
            <x v="39"/>
          </reference>
        </references>
      </pivotArea>
    </format>
    <format dxfId="457">
      <pivotArea dataOnly="0" labelOnly="1" outline="0" fieldPosition="0">
        <references count="3">
          <reference field="6" count="1" selected="0">
            <x v="84"/>
          </reference>
          <reference field="8" count="1" selected="0">
            <x v="84"/>
          </reference>
          <reference field="9" count="1">
            <x v="40"/>
          </reference>
        </references>
      </pivotArea>
    </format>
    <format dxfId="456">
      <pivotArea dataOnly="0" labelOnly="1" outline="0" fieldPosition="0">
        <references count="3">
          <reference field="6" count="1" selected="0">
            <x v="85"/>
          </reference>
          <reference field="8" count="1" selected="0">
            <x v="85"/>
          </reference>
          <reference field="9" count="1">
            <x v="41"/>
          </reference>
        </references>
      </pivotArea>
    </format>
    <format dxfId="455">
      <pivotArea dataOnly="0" labelOnly="1" outline="0" fieldPosition="0">
        <references count="3">
          <reference field="6" count="1" selected="0">
            <x v="86"/>
          </reference>
          <reference field="8" count="1" selected="0">
            <x v="86"/>
          </reference>
          <reference field="9" count="1">
            <x v="42"/>
          </reference>
        </references>
      </pivotArea>
    </format>
    <format dxfId="454">
      <pivotArea dataOnly="0" labelOnly="1" outline="0" fieldPosition="0">
        <references count="3">
          <reference field="6" count="1" selected="0">
            <x v="87"/>
          </reference>
          <reference field="8" count="1" selected="0">
            <x v="87"/>
          </reference>
          <reference field="9" count="1">
            <x v="43"/>
          </reference>
        </references>
      </pivotArea>
    </format>
    <format dxfId="453">
      <pivotArea dataOnly="0" labelOnly="1" outline="0" fieldPosition="0">
        <references count="3">
          <reference field="6" count="1" selected="0">
            <x v="88"/>
          </reference>
          <reference field="8" count="1" selected="0">
            <x v="88"/>
          </reference>
          <reference field="9" count="1">
            <x v="44"/>
          </reference>
        </references>
      </pivotArea>
    </format>
    <format dxfId="452">
      <pivotArea dataOnly="0" labelOnly="1" outline="0" fieldPosition="0">
        <references count="3">
          <reference field="6" count="1" selected="0">
            <x v="89"/>
          </reference>
          <reference field="8" count="1" selected="0">
            <x v="89"/>
          </reference>
          <reference field="9" count="1">
            <x v="45"/>
          </reference>
        </references>
      </pivotArea>
    </format>
    <format dxfId="451">
      <pivotArea dataOnly="0" labelOnly="1" outline="0" fieldPosition="0">
        <references count="3">
          <reference field="6" count="1" selected="0">
            <x v="90"/>
          </reference>
          <reference field="8" count="1" selected="0">
            <x v="90"/>
          </reference>
          <reference field="9" count="1">
            <x v="46"/>
          </reference>
        </references>
      </pivotArea>
    </format>
    <format dxfId="450">
      <pivotArea dataOnly="0" labelOnly="1" outline="0" fieldPosition="0">
        <references count="3">
          <reference field="6" count="1" selected="0">
            <x v="91"/>
          </reference>
          <reference field="8" count="1" selected="0">
            <x v="91"/>
          </reference>
          <reference field="9" count="1">
            <x v="47"/>
          </reference>
        </references>
      </pivotArea>
    </format>
    <format dxfId="449">
      <pivotArea dataOnly="0" labelOnly="1" outline="0" fieldPosition="0">
        <references count="3">
          <reference field="6" count="1" selected="0">
            <x v="93"/>
          </reference>
          <reference field="8" count="1" selected="0">
            <x v="93"/>
          </reference>
          <reference field="9" count="1">
            <x v="48"/>
          </reference>
        </references>
      </pivotArea>
    </format>
    <format dxfId="448">
      <pivotArea dataOnly="0" labelOnly="1" outline="0" fieldPosition="0">
        <references count="3">
          <reference field="6" count="1" selected="0">
            <x v="94"/>
          </reference>
          <reference field="8" count="1" selected="0">
            <x v="94"/>
          </reference>
          <reference field="9" count="1">
            <x v="49"/>
          </reference>
        </references>
      </pivotArea>
    </format>
    <format dxfId="447">
      <pivotArea dataOnly="0" labelOnly="1" outline="0" fieldPosition="0">
        <references count="3">
          <reference field="6" count="1" selected="0">
            <x v="96"/>
          </reference>
          <reference field="8" count="1" selected="0">
            <x v="96"/>
          </reference>
          <reference field="9" count="1">
            <x v="50"/>
          </reference>
        </references>
      </pivotArea>
    </format>
    <format dxfId="446">
      <pivotArea dataOnly="0" labelOnly="1" outline="0" fieldPosition="0">
        <references count="3">
          <reference field="6" count="1" selected="0">
            <x v="98"/>
          </reference>
          <reference field="8" count="1" selected="0">
            <x v="98"/>
          </reference>
          <reference field="9" count="1">
            <x v="51"/>
          </reference>
        </references>
      </pivotArea>
    </format>
    <format dxfId="445">
      <pivotArea dataOnly="0" labelOnly="1" outline="0" fieldPosition="0">
        <references count="3">
          <reference field="6" count="1" selected="0">
            <x v="99"/>
          </reference>
          <reference field="8" count="1" selected="0">
            <x v="99"/>
          </reference>
          <reference field="9" count="1">
            <x v="52"/>
          </reference>
        </references>
      </pivotArea>
    </format>
    <format dxfId="444">
      <pivotArea dataOnly="0" labelOnly="1" outline="0" fieldPosition="0">
        <references count="3">
          <reference field="6" count="1" selected="0">
            <x v="101"/>
          </reference>
          <reference field="8" count="1" selected="0">
            <x v="101"/>
          </reference>
          <reference field="9" count="1">
            <x v="53"/>
          </reference>
        </references>
      </pivotArea>
    </format>
    <format dxfId="443">
      <pivotArea dataOnly="0" labelOnly="1" outline="0" fieldPosition="0">
        <references count="3">
          <reference field="6" count="1" selected="0">
            <x v="107"/>
          </reference>
          <reference field="8" count="1" selected="0">
            <x v="107"/>
          </reference>
          <reference field="9" count="1">
            <x v="54"/>
          </reference>
        </references>
      </pivotArea>
    </format>
    <format dxfId="442">
      <pivotArea dataOnly="0" labelOnly="1" outline="0" fieldPosition="0">
        <references count="3">
          <reference field="6" count="1" selected="0">
            <x v="111"/>
          </reference>
          <reference field="8" count="1" selected="0">
            <x v="111"/>
          </reference>
          <reference field="9" count="1">
            <x v="55"/>
          </reference>
        </references>
      </pivotArea>
    </format>
    <format dxfId="441">
      <pivotArea dataOnly="0" labelOnly="1" outline="0" fieldPosition="0">
        <references count="3">
          <reference field="6" count="1" selected="0">
            <x v="115"/>
          </reference>
          <reference field="8" count="1" selected="0">
            <x v="115"/>
          </reference>
          <reference field="9" count="1">
            <x v="56"/>
          </reference>
        </references>
      </pivotArea>
    </format>
    <format dxfId="440">
      <pivotArea dataOnly="0" labelOnly="1" outline="0" fieldPosition="0">
        <references count="3">
          <reference field="6" count="1" selected="0">
            <x v="117"/>
          </reference>
          <reference field="8" count="1" selected="0">
            <x v="117"/>
          </reference>
          <reference field="9" count="1">
            <x v="57"/>
          </reference>
        </references>
      </pivotArea>
    </format>
    <format dxfId="439">
      <pivotArea dataOnly="0" labelOnly="1" outline="0" fieldPosition="0">
        <references count="3">
          <reference field="6" count="1" selected="0">
            <x v="119"/>
          </reference>
          <reference field="8" count="1" selected="0">
            <x v="119"/>
          </reference>
          <reference field="9" count="1">
            <x v="58"/>
          </reference>
        </references>
      </pivotArea>
    </format>
    <format dxfId="438">
      <pivotArea dataOnly="0" labelOnly="1" outline="0" fieldPosition="0">
        <references count="3">
          <reference field="6" count="1" selected="0">
            <x v="121"/>
          </reference>
          <reference field="8" count="1" selected="0">
            <x v="121"/>
          </reference>
          <reference field="9" count="1">
            <x v="59"/>
          </reference>
        </references>
      </pivotArea>
    </format>
    <format dxfId="437">
      <pivotArea dataOnly="0" labelOnly="1" outline="0" fieldPosition="0">
        <references count="3">
          <reference field="6" count="1" selected="0">
            <x v="124"/>
          </reference>
          <reference field="8" count="1" selected="0">
            <x v="124"/>
          </reference>
          <reference field="9" count="1">
            <x v="60"/>
          </reference>
        </references>
      </pivotArea>
    </format>
    <format dxfId="436">
      <pivotArea dataOnly="0" labelOnly="1" outline="0" fieldPosition="0">
        <references count="3">
          <reference field="6" count="1" selected="0">
            <x v="125"/>
          </reference>
          <reference field="8" count="1" selected="0">
            <x v="125"/>
          </reference>
          <reference field="9" count="1">
            <x v="61"/>
          </reference>
        </references>
      </pivotArea>
    </format>
    <format dxfId="435">
      <pivotArea dataOnly="0" labelOnly="1" outline="0" fieldPosition="0">
        <references count="3">
          <reference field="6" count="1" selected="0">
            <x v="126"/>
          </reference>
          <reference field="8" count="1" selected="0">
            <x v="126"/>
          </reference>
          <reference field="9" count="1">
            <x v="62"/>
          </reference>
        </references>
      </pivotArea>
    </format>
    <format dxfId="434">
      <pivotArea dataOnly="0" labelOnly="1" outline="0" fieldPosition="0">
        <references count="3">
          <reference field="6" count="1" selected="0">
            <x v="127"/>
          </reference>
          <reference field="8" count="1" selected="0">
            <x v="127"/>
          </reference>
          <reference field="9" count="1">
            <x v="63"/>
          </reference>
        </references>
      </pivotArea>
    </format>
    <format dxfId="433">
      <pivotArea dataOnly="0" labelOnly="1" outline="0" fieldPosition="0">
        <references count="3">
          <reference field="6" count="1" selected="0">
            <x v="128"/>
          </reference>
          <reference field="8" count="1" selected="0">
            <x v="128"/>
          </reference>
          <reference field="9" count="1">
            <x v="64"/>
          </reference>
        </references>
      </pivotArea>
    </format>
    <format dxfId="432">
      <pivotArea dataOnly="0" labelOnly="1" outline="0" fieldPosition="0">
        <references count="3">
          <reference field="6" count="1" selected="0">
            <x v="129"/>
          </reference>
          <reference field="8" count="1" selected="0">
            <x v="129"/>
          </reference>
          <reference field="9" count="1">
            <x v="65"/>
          </reference>
        </references>
      </pivotArea>
    </format>
    <format dxfId="431">
      <pivotArea dataOnly="0" labelOnly="1" outline="0" fieldPosition="0">
        <references count="3">
          <reference field="6" count="1" selected="0">
            <x v="130"/>
          </reference>
          <reference field="8" count="1" selected="0">
            <x v="130"/>
          </reference>
          <reference field="9" count="1">
            <x v="66"/>
          </reference>
        </references>
      </pivotArea>
    </format>
    <format dxfId="430">
      <pivotArea dataOnly="0" labelOnly="1" outline="0" fieldPosition="0">
        <references count="3">
          <reference field="6" count="1" selected="0">
            <x v="131"/>
          </reference>
          <reference field="8" count="1" selected="0">
            <x v="131"/>
          </reference>
          <reference field="9" count="1">
            <x v="67"/>
          </reference>
        </references>
      </pivotArea>
    </format>
    <format dxfId="429">
      <pivotArea dataOnly="0" labelOnly="1" outline="0" fieldPosition="0">
        <references count="3">
          <reference field="6" count="1" selected="0">
            <x v="138"/>
          </reference>
          <reference field="8" count="1" selected="0">
            <x v="138"/>
          </reference>
          <reference field="9" count="1">
            <x v="68"/>
          </reference>
        </references>
      </pivotArea>
    </format>
    <format dxfId="428">
      <pivotArea dataOnly="0" labelOnly="1" outline="0" fieldPosition="0">
        <references count="3">
          <reference field="6" count="1" selected="0">
            <x v="139"/>
          </reference>
          <reference field="8" count="1" selected="0">
            <x v="139"/>
          </reference>
          <reference field="9" count="1">
            <x v="69"/>
          </reference>
        </references>
      </pivotArea>
    </format>
    <format dxfId="427">
      <pivotArea dataOnly="0" labelOnly="1" outline="0" fieldPosition="0">
        <references count="3">
          <reference field="6" count="1" selected="0">
            <x v="140"/>
          </reference>
          <reference field="8" count="1" selected="0">
            <x v="140"/>
          </reference>
          <reference field="9" count="1">
            <x v="70"/>
          </reference>
        </references>
      </pivotArea>
    </format>
    <format dxfId="426">
      <pivotArea dataOnly="0" labelOnly="1" outline="0" fieldPosition="0">
        <references count="3">
          <reference field="6" count="1" selected="0">
            <x v="142"/>
          </reference>
          <reference field="8" count="1" selected="0">
            <x v="142"/>
          </reference>
          <reference field="9" count="1">
            <x v="71"/>
          </reference>
        </references>
      </pivotArea>
    </format>
    <format dxfId="425">
      <pivotArea dataOnly="0" labelOnly="1" outline="0" fieldPosition="0">
        <references count="3">
          <reference field="6" count="1" selected="0">
            <x v="143"/>
          </reference>
          <reference field="8" count="1" selected="0">
            <x v="143"/>
          </reference>
          <reference field="9" count="1">
            <x v="72"/>
          </reference>
        </references>
      </pivotArea>
    </format>
    <format dxfId="424">
      <pivotArea dataOnly="0" labelOnly="1" outline="0" fieldPosition="0">
        <references count="3">
          <reference field="6" count="1" selected="0">
            <x v="144"/>
          </reference>
          <reference field="8" count="1" selected="0">
            <x v="144"/>
          </reference>
          <reference field="9" count="1">
            <x v="73"/>
          </reference>
        </references>
      </pivotArea>
    </format>
    <format dxfId="423">
      <pivotArea dataOnly="0" labelOnly="1" outline="0" fieldPosition="0">
        <references count="3">
          <reference field="6" count="1" selected="0">
            <x v="149"/>
          </reference>
          <reference field="8" count="1" selected="0">
            <x v="149"/>
          </reference>
          <reference field="9" count="1">
            <x v="74"/>
          </reference>
        </references>
      </pivotArea>
    </format>
    <format dxfId="422">
      <pivotArea dataOnly="0" labelOnly="1" outline="0" fieldPosition="0">
        <references count="3">
          <reference field="6" count="1" selected="0">
            <x v="151"/>
          </reference>
          <reference field="8" count="1" selected="0">
            <x v="151"/>
          </reference>
          <reference field="9" count="1">
            <x v="75"/>
          </reference>
        </references>
      </pivotArea>
    </format>
    <format dxfId="421">
      <pivotArea dataOnly="0" labelOnly="1" outline="0" fieldPosition="0">
        <references count="3">
          <reference field="6" count="1" selected="0">
            <x v="152"/>
          </reference>
          <reference field="8" count="1" selected="0">
            <x v="152"/>
          </reference>
          <reference field="9" count="1">
            <x v="76"/>
          </reference>
        </references>
      </pivotArea>
    </format>
    <format dxfId="420">
      <pivotArea dataOnly="0" labelOnly="1" outline="0" fieldPosition="0">
        <references count="3">
          <reference field="6" count="1" selected="0">
            <x v="153"/>
          </reference>
          <reference field="8" count="1" selected="0">
            <x v="153"/>
          </reference>
          <reference field="9" count="1">
            <x v="77"/>
          </reference>
        </references>
      </pivotArea>
    </format>
    <format dxfId="419">
      <pivotArea dataOnly="0" labelOnly="1" outline="0" fieldPosition="0">
        <references count="3">
          <reference field="6" count="1" selected="0">
            <x v="155"/>
          </reference>
          <reference field="8" count="1" selected="0">
            <x v="155"/>
          </reference>
          <reference field="9" count="1">
            <x v="78"/>
          </reference>
        </references>
      </pivotArea>
    </format>
    <format dxfId="418">
      <pivotArea dataOnly="0" labelOnly="1" outline="0" fieldPosition="0">
        <references count="3">
          <reference field="6" count="1" selected="0">
            <x v="157"/>
          </reference>
          <reference field="8" count="1" selected="0">
            <x v="157"/>
          </reference>
          <reference field="9" count="1">
            <x v="79"/>
          </reference>
        </references>
      </pivotArea>
    </format>
    <format dxfId="417">
      <pivotArea dataOnly="0" labelOnly="1" outline="0" fieldPosition="0">
        <references count="3">
          <reference field="6" count="1" selected="0">
            <x v="160"/>
          </reference>
          <reference field="8" count="1" selected="0">
            <x v="160"/>
          </reference>
          <reference field="9" count="1">
            <x v="80"/>
          </reference>
        </references>
      </pivotArea>
    </format>
    <format dxfId="416">
      <pivotArea dataOnly="0" labelOnly="1" outline="0" fieldPosition="0">
        <references count="3">
          <reference field="6" count="1" selected="0">
            <x v="162"/>
          </reference>
          <reference field="8" count="1" selected="0">
            <x v="162"/>
          </reference>
          <reference field="9" count="1">
            <x v="81"/>
          </reference>
        </references>
      </pivotArea>
    </format>
    <format dxfId="415">
      <pivotArea dataOnly="0" labelOnly="1" outline="0" fieldPosition="0">
        <references count="3">
          <reference field="6" count="1" selected="0">
            <x v="164"/>
          </reference>
          <reference field="8" count="1" selected="0">
            <x v="164"/>
          </reference>
          <reference field="9" count="1">
            <x v="82"/>
          </reference>
        </references>
      </pivotArea>
    </format>
    <format dxfId="414">
      <pivotArea dataOnly="0" labelOnly="1" outline="0" fieldPosition="0">
        <references count="3">
          <reference field="6" count="1" selected="0">
            <x v="168"/>
          </reference>
          <reference field="8" count="1" selected="0">
            <x v="168"/>
          </reference>
          <reference field="9" count="1">
            <x v="83"/>
          </reference>
        </references>
      </pivotArea>
    </format>
    <format dxfId="413">
      <pivotArea dataOnly="0" labelOnly="1" outline="0" fieldPosition="0">
        <references count="3">
          <reference field="6" count="1" selected="0">
            <x v="169"/>
          </reference>
          <reference field="8" count="1" selected="0">
            <x v="169"/>
          </reference>
          <reference field="9" count="1">
            <x v="84"/>
          </reference>
        </references>
      </pivotArea>
    </format>
    <format dxfId="412">
      <pivotArea dataOnly="0" labelOnly="1" outline="0" fieldPosition="0">
        <references count="3">
          <reference field="6" count="1" selected="0">
            <x v="172"/>
          </reference>
          <reference field="8" count="1" selected="0">
            <x v="172"/>
          </reference>
          <reference field="9" count="1">
            <x v="85"/>
          </reference>
        </references>
      </pivotArea>
    </format>
    <format dxfId="411">
      <pivotArea dataOnly="0" labelOnly="1" outline="0" fieldPosition="0">
        <references count="3">
          <reference field="6" count="1" selected="0">
            <x v="174"/>
          </reference>
          <reference field="8" count="1" selected="0">
            <x v="174"/>
          </reference>
          <reference field="9" count="1">
            <x v="86"/>
          </reference>
        </references>
      </pivotArea>
    </format>
    <format dxfId="410">
      <pivotArea dataOnly="0" labelOnly="1" outline="0" fieldPosition="0">
        <references count="3">
          <reference field="6" count="1" selected="0">
            <x v="175"/>
          </reference>
          <reference field="8" count="1" selected="0">
            <x v="175"/>
          </reference>
          <reference field="9" count="1">
            <x v="87"/>
          </reference>
        </references>
      </pivotArea>
    </format>
    <format dxfId="409">
      <pivotArea dataOnly="0" labelOnly="1" outline="0" fieldPosition="0">
        <references count="3">
          <reference field="6" count="1" selected="0">
            <x v="176"/>
          </reference>
          <reference field="8" count="1" selected="0">
            <x v="176"/>
          </reference>
          <reference field="9" count="1">
            <x v="88"/>
          </reference>
        </references>
      </pivotArea>
    </format>
    <format dxfId="408">
      <pivotArea dataOnly="0" labelOnly="1" outline="0" fieldPosition="0">
        <references count="3">
          <reference field="6" count="1" selected="0">
            <x v="180"/>
          </reference>
          <reference field="8" count="1" selected="0">
            <x v="180"/>
          </reference>
          <reference field="9" count="1">
            <x v="89"/>
          </reference>
        </references>
      </pivotArea>
    </format>
    <format dxfId="407">
      <pivotArea dataOnly="0" labelOnly="1" outline="0" fieldPosition="0">
        <references count="3">
          <reference field="6" count="1" selected="0">
            <x v="184"/>
          </reference>
          <reference field="8" count="1" selected="0">
            <x v="184"/>
          </reference>
          <reference field="9" count="1">
            <x v="90"/>
          </reference>
        </references>
      </pivotArea>
    </format>
    <format dxfId="406">
      <pivotArea dataOnly="0" labelOnly="1" outline="0" fieldPosition="0">
        <references count="3">
          <reference field="6" count="1" selected="0">
            <x v="185"/>
          </reference>
          <reference field="8" count="1" selected="0">
            <x v="185"/>
          </reference>
          <reference field="9" count="1">
            <x v="91"/>
          </reference>
        </references>
      </pivotArea>
    </format>
    <format dxfId="405">
      <pivotArea dataOnly="0" labelOnly="1" outline="0" fieldPosition="0">
        <references count="3">
          <reference field="6" count="1" selected="0">
            <x v="186"/>
          </reference>
          <reference field="8" count="1" selected="0">
            <x v="186"/>
          </reference>
          <reference field="9" count="1">
            <x v="92"/>
          </reference>
        </references>
      </pivotArea>
    </format>
    <format dxfId="404">
      <pivotArea dataOnly="0" labelOnly="1" outline="0" fieldPosition="0">
        <references count="3">
          <reference field="6" count="1" selected="0">
            <x v="191"/>
          </reference>
          <reference field="8" count="1" selected="0">
            <x v="191"/>
          </reference>
          <reference field="9" count="1">
            <x v="93"/>
          </reference>
        </references>
      </pivotArea>
    </format>
    <format dxfId="403">
      <pivotArea dataOnly="0" labelOnly="1" outline="0" fieldPosition="0">
        <references count="3">
          <reference field="6" count="1" selected="0">
            <x v="192"/>
          </reference>
          <reference field="8" count="1" selected="0">
            <x v="192"/>
          </reference>
          <reference field="9" count="1">
            <x v="94"/>
          </reference>
        </references>
      </pivotArea>
    </format>
    <format dxfId="402">
      <pivotArea dataOnly="0" labelOnly="1" outline="0" fieldPosition="0">
        <references count="3">
          <reference field="6" count="1" selected="0">
            <x v="194"/>
          </reference>
          <reference field="8" count="1" selected="0">
            <x v="194"/>
          </reference>
          <reference field="9" count="1">
            <x v="95"/>
          </reference>
        </references>
      </pivotArea>
    </format>
    <format dxfId="401">
      <pivotArea dataOnly="0" labelOnly="1" outline="0" fieldPosition="0">
        <references count="3">
          <reference field="6" count="1" selected="0">
            <x v="195"/>
          </reference>
          <reference field="8" count="1" selected="0">
            <x v="195"/>
          </reference>
          <reference field="9" count="1">
            <x v="96"/>
          </reference>
        </references>
      </pivotArea>
    </format>
    <format dxfId="400">
      <pivotArea dataOnly="0" labelOnly="1" outline="0" fieldPosition="0">
        <references count="3">
          <reference field="6" count="1" selected="0">
            <x v="196"/>
          </reference>
          <reference field="8" count="1" selected="0">
            <x v="196"/>
          </reference>
          <reference field="9" count="1">
            <x v="97"/>
          </reference>
        </references>
      </pivotArea>
    </format>
    <format dxfId="399">
      <pivotArea dataOnly="0" labelOnly="1" outline="0" fieldPosition="0">
        <references count="3">
          <reference field="6" count="1" selected="0">
            <x v="197"/>
          </reference>
          <reference field="8" count="1" selected="0">
            <x v="197"/>
          </reference>
          <reference field="9" count="1">
            <x v="98"/>
          </reference>
        </references>
      </pivotArea>
    </format>
    <format dxfId="398">
      <pivotArea dataOnly="0" labelOnly="1" outline="0" fieldPosition="0">
        <references count="3">
          <reference field="6" count="1" selected="0">
            <x v="199"/>
          </reference>
          <reference field="8" count="1" selected="0">
            <x v="199"/>
          </reference>
          <reference field="9" count="1">
            <x v="99"/>
          </reference>
        </references>
      </pivotArea>
    </format>
    <format dxfId="397">
      <pivotArea dataOnly="0" labelOnly="1" outline="0" fieldPosition="0">
        <references count="3">
          <reference field="6" count="1" selected="0">
            <x v="200"/>
          </reference>
          <reference field="8" count="1" selected="0">
            <x v="200"/>
          </reference>
          <reference field="9" count="1">
            <x v="100"/>
          </reference>
        </references>
      </pivotArea>
    </format>
    <format dxfId="396">
      <pivotArea dataOnly="0" labelOnly="1" outline="0" fieldPosition="0">
        <references count="3">
          <reference field="6" count="1" selected="0">
            <x v="201"/>
          </reference>
          <reference field="8" count="1" selected="0">
            <x v="201"/>
          </reference>
          <reference field="9" count="1">
            <x v="101"/>
          </reference>
        </references>
      </pivotArea>
    </format>
    <format dxfId="395">
      <pivotArea dataOnly="0" labelOnly="1" outline="0" fieldPosition="0">
        <references count="3">
          <reference field="6" count="1" selected="0">
            <x v="205"/>
          </reference>
          <reference field="8" count="1" selected="0">
            <x v="205"/>
          </reference>
          <reference field="9" count="1">
            <x v="102"/>
          </reference>
        </references>
      </pivotArea>
    </format>
    <format dxfId="394">
      <pivotArea dataOnly="0" labelOnly="1" outline="0" fieldPosition="0">
        <references count="3">
          <reference field="6" count="1" selected="0">
            <x v="207"/>
          </reference>
          <reference field="8" count="1" selected="0">
            <x v="207"/>
          </reference>
          <reference field="9" count="1">
            <x v="103"/>
          </reference>
        </references>
      </pivotArea>
    </format>
    <format dxfId="393">
      <pivotArea dataOnly="0" labelOnly="1" outline="0" fieldPosition="0">
        <references count="3">
          <reference field="6" count="1" selected="0">
            <x v="208"/>
          </reference>
          <reference field="8" count="1" selected="0">
            <x v="208"/>
          </reference>
          <reference field="9" count="1">
            <x v="104"/>
          </reference>
        </references>
      </pivotArea>
    </format>
    <format dxfId="392">
      <pivotArea dataOnly="0" labelOnly="1" outline="0" fieldPosition="0">
        <references count="3">
          <reference field="6" count="1" selected="0">
            <x v="209"/>
          </reference>
          <reference field="8" count="1" selected="0">
            <x v="209"/>
          </reference>
          <reference field="9" count="1">
            <x v="105"/>
          </reference>
        </references>
      </pivotArea>
    </format>
    <format dxfId="391">
      <pivotArea dataOnly="0" labelOnly="1" outline="0" fieldPosition="0">
        <references count="3">
          <reference field="6" count="1" selected="0">
            <x v="216"/>
          </reference>
          <reference field="8" count="1" selected="0">
            <x v="216"/>
          </reference>
          <reference field="9" count="1">
            <x v="106"/>
          </reference>
        </references>
      </pivotArea>
    </format>
    <format dxfId="390">
      <pivotArea dataOnly="0" labelOnly="1" outline="0" fieldPosition="0">
        <references count="3">
          <reference field="6" count="1" selected="0">
            <x v="217"/>
          </reference>
          <reference field="8" count="1" selected="0">
            <x v="217"/>
          </reference>
          <reference field="9" count="1">
            <x v="107"/>
          </reference>
        </references>
      </pivotArea>
    </format>
    <format dxfId="389">
      <pivotArea dataOnly="0" labelOnly="1" outline="0" fieldPosition="0">
        <references count="3">
          <reference field="6" count="1" selected="0">
            <x v="221"/>
          </reference>
          <reference field="8" count="1" selected="0">
            <x v="221"/>
          </reference>
          <reference field="9" count="1">
            <x v="108"/>
          </reference>
        </references>
      </pivotArea>
    </format>
    <format dxfId="388">
      <pivotArea dataOnly="0" labelOnly="1" outline="0" fieldPosition="0">
        <references count="3">
          <reference field="6" count="1" selected="0">
            <x v="223"/>
          </reference>
          <reference field="8" count="1" selected="0">
            <x v="223"/>
          </reference>
          <reference field="9" count="1">
            <x v="109"/>
          </reference>
        </references>
      </pivotArea>
    </format>
    <format dxfId="387">
      <pivotArea dataOnly="0" labelOnly="1" outline="0" fieldPosition="0">
        <references count="3">
          <reference field="6" count="1" selected="0">
            <x v="225"/>
          </reference>
          <reference field="8" count="1" selected="0">
            <x v="225"/>
          </reference>
          <reference field="9" count="1">
            <x v="110"/>
          </reference>
        </references>
      </pivotArea>
    </format>
    <format dxfId="386">
      <pivotArea dataOnly="0" labelOnly="1" outline="0" fieldPosition="0">
        <references count="3">
          <reference field="6" count="1" selected="0">
            <x v="226"/>
          </reference>
          <reference field="8" count="1" selected="0">
            <x v="226"/>
          </reference>
          <reference field="9" count="1">
            <x v="111"/>
          </reference>
        </references>
      </pivotArea>
    </format>
    <format dxfId="385">
      <pivotArea dataOnly="0" labelOnly="1" outline="0" fieldPosition="0">
        <references count="3">
          <reference field="6" count="1" selected="0">
            <x v="227"/>
          </reference>
          <reference field="8" count="1" selected="0">
            <x v="227"/>
          </reference>
          <reference field="9" count="1">
            <x v="112"/>
          </reference>
        </references>
      </pivotArea>
    </format>
    <format dxfId="384">
      <pivotArea dataOnly="0" labelOnly="1" outline="0" fieldPosition="0">
        <references count="3">
          <reference field="6" count="1" selected="0">
            <x v="229"/>
          </reference>
          <reference field="8" count="1" selected="0">
            <x v="229"/>
          </reference>
          <reference field="9" count="1">
            <x v="113"/>
          </reference>
        </references>
      </pivotArea>
    </format>
    <format dxfId="383">
      <pivotArea dataOnly="0" labelOnly="1" outline="0" fieldPosition="0">
        <references count="3">
          <reference field="6" count="1" selected="0">
            <x v="230"/>
          </reference>
          <reference field="8" count="1" selected="0">
            <x v="230"/>
          </reference>
          <reference field="9" count="1">
            <x v="114"/>
          </reference>
        </references>
      </pivotArea>
    </format>
    <format dxfId="382">
      <pivotArea dataOnly="0" labelOnly="1" outline="0" fieldPosition="0">
        <references count="3">
          <reference field="6" count="1" selected="0">
            <x v="231"/>
          </reference>
          <reference field="8" count="1" selected="0">
            <x v="231"/>
          </reference>
          <reference field="9" count="1">
            <x v="115"/>
          </reference>
        </references>
      </pivotArea>
    </format>
    <format dxfId="381">
      <pivotArea dataOnly="0" labelOnly="1" outline="0" fieldPosition="0">
        <references count="3">
          <reference field="6" count="1" selected="0">
            <x v="232"/>
          </reference>
          <reference field="8" count="1" selected="0">
            <x v="232"/>
          </reference>
          <reference field="9" count="1">
            <x v="116"/>
          </reference>
        </references>
      </pivotArea>
    </format>
    <format dxfId="380">
      <pivotArea dataOnly="0" labelOnly="1" outline="0" fieldPosition="0">
        <references count="3">
          <reference field="6" count="1" selected="0">
            <x v="233"/>
          </reference>
          <reference field="8" count="1" selected="0">
            <x v="233"/>
          </reference>
          <reference field="9" count="1">
            <x v="117"/>
          </reference>
        </references>
      </pivotArea>
    </format>
    <format dxfId="379">
      <pivotArea dataOnly="0" labelOnly="1" outline="0" fieldPosition="0">
        <references count="3">
          <reference field="6" count="1" selected="0">
            <x v="234"/>
          </reference>
          <reference field="8" count="1" selected="0">
            <x v="234"/>
          </reference>
          <reference field="9" count="1">
            <x v="118"/>
          </reference>
        </references>
      </pivotArea>
    </format>
    <format dxfId="378">
      <pivotArea dataOnly="0" labelOnly="1" outline="0" fieldPosition="0">
        <references count="3">
          <reference field="6" count="1" selected="0">
            <x v="235"/>
          </reference>
          <reference field="8" count="1" selected="0">
            <x v="235"/>
          </reference>
          <reference field="9" count="1">
            <x v="119"/>
          </reference>
        </references>
      </pivotArea>
    </format>
    <format dxfId="377">
      <pivotArea dataOnly="0" labelOnly="1" outline="0" fieldPosition="0">
        <references count="3">
          <reference field="6" count="1" selected="0">
            <x v="236"/>
          </reference>
          <reference field="8" count="1" selected="0">
            <x v="236"/>
          </reference>
          <reference field="9" count="1">
            <x v="120"/>
          </reference>
        </references>
      </pivotArea>
    </format>
    <format dxfId="376">
      <pivotArea dataOnly="0" labelOnly="1" outline="0" fieldPosition="0">
        <references count="3">
          <reference field="6" count="1" selected="0">
            <x v="237"/>
          </reference>
          <reference field="8" count="1" selected="0">
            <x v="237"/>
          </reference>
          <reference field="9" count="1">
            <x v="121"/>
          </reference>
        </references>
      </pivotArea>
    </format>
    <format dxfId="375">
      <pivotArea dataOnly="0" labelOnly="1" outline="0" fieldPosition="0">
        <references count="3">
          <reference field="6" count="1" selected="0">
            <x v="240"/>
          </reference>
          <reference field="8" count="1" selected="0">
            <x v="240"/>
          </reference>
          <reference field="9" count="1">
            <x v="122"/>
          </reference>
        </references>
      </pivotArea>
    </format>
    <format dxfId="374">
      <pivotArea dataOnly="0" labelOnly="1" outline="0" fieldPosition="0">
        <references count="3">
          <reference field="6" count="1" selected="0">
            <x v="241"/>
          </reference>
          <reference field="8" count="1" selected="0">
            <x v="241"/>
          </reference>
          <reference field="9" count="1">
            <x v="123"/>
          </reference>
        </references>
      </pivotArea>
    </format>
    <format dxfId="373">
      <pivotArea dataOnly="0" labelOnly="1" outline="0" fieldPosition="0">
        <references count="3">
          <reference field="6" count="1" selected="0">
            <x v="242"/>
          </reference>
          <reference field="8" count="1" selected="0">
            <x v="242"/>
          </reference>
          <reference field="9" count="1">
            <x v="124"/>
          </reference>
        </references>
      </pivotArea>
    </format>
    <format dxfId="372">
      <pivotArea dataOnly="0" labelOnly="1" outline="0" fieldPosition="0">
        <references count="3">
          <reference field="6" count="1" selected="0">
            <x v="243"/>
          </reference>
          <reference field="8" count="1" selected="0">
            <x v="243"/>
          </reference>
          <reference field="9" count="1">
            <x v="125"/>
          </reference>
        </references>
      </pivotArea>
    </format>
    <format dxfId="371">
      <pivotArea dataOnly="0" labelOnly="1" outline="0" fieldPosition="0">
        <references count="3">
          <reference field="6" count="1" selected="0">
            <x v="244"/>
          </reference>
          <reference field="8" count="1" selected="0">
            <x v="244"/>
          </reference>
          <reference field="9" count="1">
            <x v="126"/>
          </reference>
        </references>
      </pivotArea>
    </format>
    <format dxfId="370">
      <pivotArea dataOnly="0" labelOnly="1" outline="0" fieldPosition="0">
        <references count="3">
          <reference field="6" count="1" selected="0">
            <x v="245"/>
          </reference>
          <reference field="8" count="1" selected="0">
            <x v="245"/>
          </reference>
          <reference field="9" count="1">
            <x v="127"/>
          </reference>
        </references>
      </pivotArea>
    </format>
    <format dxfId="369">
      <pivotArea dataOnly="0" labelOnly="1" outline="0" fieldPosition="0">
        <references count="3">
          <reference field="6" count="1" selected="0">
            <x v="246"/>
          </reference>
          <reference field="8" count="1" selected="0">
            <x v="246"/>
          </reference>
          <reference field="9" count="1">
            <x v="128"/>
          </reference>
        </references>
      </pivotArea>
    </format>
    <format dxfId="368">
      <pivotArea dataOnly="0" labelOnly="1" outline="0" fieldPosition="0">
        <references count="3">
          <reference field="6" count="1" selected="0">
            <x v="247"/>
          </reference>
          <reference field="8" count="1" selected="0">
            <x v="247"/>
          </reference>
          <reference field="9" count="1">
            <x v="129"/>
          </reference>
        </references>
      </pivotArea>
    </format>
    <format dxfId="367">
      <pivotArea dataOnly="0" labelOnly="1" outline="0" fieldPosition="0">
        <references count="3">
          <reference field="6" count="1" selected="0">
            <x v="249"/>
          </reference>
          <reference field="8" count="1" selected="0">
            <x v="249"/>
          </reference>
          <reference field="9" count="1">
            <x v="130"/>
          </reference>
        </references>
      </pivotArea>
    </format>
    <format dxfId="366">
      <pivotArea dataOnly="0" labelOnly="1" outline="0" fieldPosition="0">
        <references count="3">
          <reference field="6" count="1" selected="0">
            <x v="250"/>
          </reference>
          <reference field="8" count="1" selected="0">
            <x v="250"/>
          </reference>
          <reference field="9" count="1">
            <x v="131"/>
          </reference>
        </references>
      </pivotArea>
    </format>
    <format dxfId="365">
      <pivotArea dataOnly="0" labelOnly="1" outline="0" fieldPosition="0">
        <references count="3">
          <reference field="6" count="1" selected="0">
            <x v="252"/>
          </reference>
          <reference field="8" count="1" selected="0">
            <x v="252"/>
          </reference>
          <reference field="9" count="1">
            <x v="132"/>
          </reference>
        </references>
      </pivotArea>
    </format>
    <format dxfId="364">
      <pivotArea dataOnly="0" labelOnly="1" outline="0" fieldPosition="0">
        <references count="3">
          <reference field="6" count="1" selected="0">
            <x v="253"/>
          </reference>
          <reference field="8" count="1" selected="0">
            <x v="253"/>
          </reference>
          <reference field="9" count="1">
            <x v="133"/>
          </reference>
        </references>
      </pivotArea>
    </format>
    <format dxfId="363">
      <pivotArea dataOnly="0" labelOnly="1" outline="0" fieldPosition="0">
        <references count="3">
          <reference field="6" count="1" selected="0">
            <x v="255"/>
          </reference>
          <reference field="8" count="1" selected="0">
            <x v="255"/>
          </reference>
          <reference field="9" count="1">
            <x v="134"/>
          </reference>
        </references>
      </pivotArea>
    </format>
    <format dxfId="362">
      <pivotArea dataOnly="0" labelOnly="1" outline="0" fieldPosition="0">
        <references count="3">
          <reference field="6" count="1" selected="0">
            <x v="256"/>
          </reference>
          <reference field="8" count="1" selected="0">
            <x v="256"/>
          </reference>
          <reference field="9" count="1">
            <x v="135"/>
          </reference>
        </references>
      </pivotArea>
    </format>
    <format dxfId="361">
      <pivotArea dataOnly="0" labelOnly="1" outline="0" fieldPosition="0">
        <references count="3">
          <reference field="6" count="1" selected="0">
            <x v="257"/>
          </reference>
          <reference field="8" count="1" selected="0">
            <x v="257"/>
          </reference>
          <reference field="9" count="1">
            <x v="136"/>
          </reference>
        </references>
      </pivotArea>
    </format>
    <format dxfId="360">
      <pivotArea dataOnly="0" labelOnly="1" outline="0" fieldPosition="0">
        <references count="3">
          <reference field="6" count="1" selected="0">
            <x v="258"/>
          </reference>
          <reference field="8" count="1" selected="0">
            <x v="258"/>
          </reference>
          <reference field="9" count="1">
            <x v="137"/>
          </reference>
        </references>
      </pivotArea>
    </format>
    <format dxfId="359">
      <pivotArea dataOnly="0" labelOnly="1" outline="0" fieldPosition="0">
        <references count="3">
          <reference field="6" count="1" selected="0">
            <x v="259"/>
          </reference>
          <reference field="8" count="1" selected="0">
            <x v="259"/>
          </reference>
          <reference field="9" count="1">
            <x v="138"/>
          </reference>
        </references>
      </pivotArea>
    </format>
    <format dxfId="358">
      <pivotArea dataOnly="0" labelOnly="1" outline="0" fieldPosition="0">
        <references count="3">
          <reference field="6" count="1" selected="0">
            <x v="260"/>
          </reference>
          <reference field="8" count="1" selected="0">
            <x v="260"/>
          </reference>
          <reference field="9" count="1">
            <x v="139"/>
          </reference>
        </references>
      </pivotArea>
    </format>
    <format dxfId="357">
      <pivotArea dataOnly="0" labelOnly="1" outline="0" fieldPosition="0">
        <references count="3">
          <reference field="6" count="1" selected="0">
            <x v="265"/>
          </reference>
          <reference field="8" count="1" selected="0">
            <x v="261"/>
          </reference>
          <reference field="9" count="1">
            <x v="143"/>
          </reference>
        </references>
      </pivotArea>
    </format>
    <format dxfId="356">
      <pivotArea dataOnly="0" labelOnly="1" outline="0" fieldPosition="0">
        <references count="3">
          <reference field="6" count="1" selected="0">
            <x v="261"/>
          </reference>
          <reference field="8" count="1" selected="0">
            <x v="262"/>
          </reference>
          <reference field="9" count="1">
            <x v="140"/>
          </reference>
        </references>
      </pivotArea>
    </format>
    <format dxfId="355">
      <pivotArea dataOnly="0" labelOnly="1" outline="0" fieldPosition="0">
        <references count="3">
          <reference field="6" count="1" selected="0">
            <x v="262"/>
          </reference>
          <reference field="8" count="1" selected="0">
            <x v="263"/>
          </reference>
          <reference field="9" count="1">
            <x v="141"/>
          </reference>
        </references>
      </pivotArea>
    </format>
    <format dxfId="354">
      <pivotArea dataOnly="0" labelOnly="1" outline="0" fieldPosition="0">
        <references count="3">
          <reference field="6" count="1" selected="0">
            <x v="263"/>
          </reference>
          <reference field="8" count="1" selected="0">
            <x v="264"/>
          </reference>
          <reference field="9" count="1">
            <x v="142"/>
          </reference>
        </references>
      </pivotArea>
    </format>
    <format dxfId="353">
      <pivotArea dataOnly="0" labelOnly="1" outline="0" fieldPosition="0">
        <references count="3">
          <reference field="6" count="1" selected="0">
            <x v="266"/>
          </reference>
          <reference field="8" count="1" selected="0">
            <x v="266"/>
          </reference>
          <reference field="9" count="1">
            <x v="144"/>
          </reference>
        </references>
      </pivotArea>
    </format>
    <format dxfId="352">
      <pivotArea dataOnly="0" labelOnly="1" outline="0" fieldPosition="0">
        <references count="3">
          <reference field="6" count="1" selected="0">
            <x v="267"/>
          </reference>
          <reference field="8" count="1" selected="0">
            <x v="267"/>
          </reference>
          <reference field="9" count="1">
            <x v="145"/>
          </reference>
        </references>
      </pivotArea>
    </format>
    <format dxfId="351">
      <pivotArea dataOnly="0" labelOnly="1" outline="0" fieldPosition="0">
        <references count="3">
          <reference field="6" count="1" selected="0">
            <x v="268"/>
          </reference>
          <reference field="8" count="1" selected="0">
            <x v="268"/>
          </reference>
          <reference field="9" count="1">
            <x v="146"/>
          </reference>
        </references>
      </pivotArea>
    </format>
    <format dxfId="350">
      <pivotArea dataOnly="0" labelOnly="1" outline="0" fieldPosition="0">
        <references count="3">
          <reference field="6" count="1" selected="0">
            <x v="269"/>
          </reference>
          <reference field="8" count="1" selected="0">
            <x v="269"/>
          </reference>
          <reference field="9" count="1">
            <x v="147"/>
          </reference>
        </references>
      </pivotArea>
    </format>
    <format dxfId="349">
      <pivotArea dataOnly="0" labelOnly="1" outline="0" fieldPosition="0">
        <references count="3">
          <reference field="6" count="1" selected="0">
            <x v="270"/>
          </reference>
          <reference field="8" count="1" selected="0">
            <x v="270"/>
          </reference>
          <reference field="9" count="1">
            <x v="148"/>
          </reference>
        </references>
      </pivotArea>
    </format>
    <format dxfId="348">
      <pivotArea dataOnly="0" labelOnly="1" outline="0" fieldPosition="0">
        <references count="3">
          <reference field="6" count="1" selected="0">
            <x v="271"/>
          </reference>
          <reference field="8" count="1" selected="0">
            <x v="271"/>
          </reference>
          <reference field="9" count="1">
            <x v="149"/>
          </reference>
        </references>
      </pivotArea>
    </format>
    <format dxfId="347">
      <pivotArea dataOnly="0" labelOnly="1" outline="0" fieldPosition="0">
        <references count="3">
          <reference field="6" count="1" selected="0">
            <x v="272"/>
          </reference>
          <reference field="8" count="1" selected="0">
            <x v="272"/>
          </reference>
          <reference field="9" count="1">
            <x v="150"/>
          </reference>
        </references>
      </pivotArea>
    </format>
    <format dxfId="346">
      <pivotArea dataOnly="0" labelOnly="1" outline="0" fieldPosition="0">
        <references count="3">
          <reference field="6" count="1" selected="0">
            <x v="273"/>
          </reference>
          <reference field="8" count="1" selected="0">
            <x v="273"/>
          </reference>
          <reference field="9" count="1">
            <x v="151"/>
          </reference>
        </references>
      </pivotArea>
    </format>
    <format dxfId="345">
      <pivotArea dataOnly="0" labelOnly="1" outline="0" fieldPosition="0">
        <references count="3">
          <reference field="6" count="1" selected="0">
            <x v="274"/>
          </reference>
          <reference field="8" count="1" selected="0">
            <x v="274"/>
          </reference>
          <reference field="9" count="1">
            <x v="152"/>
          </reference>
        </references>
      </pivotArea>
    </format>
    <format dxfId="344">
      <pivotArea dataOnly="0" labelOnly="1" outline="0" fieldPosition="0">
        <references count="3">
          <reference field="6" count="1" selected="0">
            <x v="275"/>
          </reference>
          <reference field="8" count="1" selected="0">
            <x v="275"/>
          </reference>
          <reference field="9" count="1">
            <x v="153"/>
          </reference>
        </references>
      </pivotArea>
    </format>
    <format dxfId="343">
      <pivotArea dataOnly="0" labelOnly="1" outline="0" fieldPosition="0">
        <references count="3">
          <reference field="6" count="1" selected="0">
            <x v="276"/>
          </reference>
          <reference field="8" count="1" selected="0">
            <x v="276"/>
          </reference>
          <reference field="9" count="1">
            <x v="154"/>
          </reference>
        </references>
      </pivotArea>
    </format>
    <format dxfId="342">
      <pivotArea dataOnly="0" labelOnly="1" outline="0" fieldPosition="0">
        <references count="3">
          <reference field="6" count="1" selected="0">
            <x v="277"/>
          </reference>
          <reference field="8" count="1" selected="0">
            <x v="277"/>
          </reference>
          <reference field="9" count="1">
            <x v="155"/>
          </reference>
        </references>
      </pivotArea>
    </format>
    <format dxfId="341">
      <pivotArea dataOnly="0" labelOnly="1" outline="0" fieldPosition="0">
        <references count="3">
          <reference field="6" count="1" selected="0">
            <x v="278"/>
          </reference>
          <reference field="8" count="1" selected="0">
            <x v="278"/>
          </reference>
          <reference field="9" count="1">
            <x v="156"/>
          </reference>
        </references>
      </pivotArea>
    </format>
    <format dxfId="340">
      <pivotArea dataOnly="0" labelOnly="1" outline="0" fieldPosition="0">
        <references count="3">
          <reference field="6" count="1" selected="0">
            <x v="279"/>
          </reference>
          <reference field="8" count="1" selected="0">
            <x v="279"/>
          </reference>
          <reference field="9" count="1">
            <x v="157"/>
          </reference>
        </references>
      </pivotArea>
    </format>
    <format dxfId="339">
      <pivotArea dataOnly="0" labelOnly="1" outline="0" fieldPosition="0">
        <references count="3">
          <reference field="6" count="1" selected="0">
            <x v="280"/>
          </reference>
          <reference field="8" count="1" selected="0">
            <x v="280"/>
          </reference>
          <reference field="9" count="1">
            <x v="158"/>
          </reference>
        </references>
      </pivotArea>
    </format>
    <format dxfId="338">
      <pivotArea dataOnly="0" labelOnly="1" outline="0" fieldPosition="0">
        <references count="3">
          <reference field="6" count="1" selected="0">
            <x v="281"/>
          </reference>
          <reference field="8" count="1" selected="0">
            <x v="281"/>
          </reference>
          <reference field="9" count="1">
            <x v="159"/>
          </reference>
        </references>
      </pivotArea>
    </format>
    <format dxfId="337">
      <pivotArea dataOnly="0" labelOnly="1" outline="0" fieldPosition="0">
        <references count="3">
          <reference field="6" count="1" selected="0">
            <x v="282"/>
          </reference>
          <reference field="8" count="1" selected="0">
            <x v="282"/>
          </reference>
          <reference field="9" count="1">
            <x v="160"/>
          </reference>
        </references>
      </pivotArea>
    </format>
    <format dxfId="336">
      <pivotArea dataOnly="0" labelOnly="1" outline="0" fieldPosition="0">
        <references count="3">
          <reference field="6" count="1" selected="0">
            <x v="283"/>
          </reference>
          <reference field="8" count="1" selected="0">
            <x v="283"/>
          </reference>
          <reference field="9" count="1">
            <x v="161"/>
          </reference>
        </references>
      </pivotArea>
    </format>
    <format dxfId="335">
      <pivotArea dataOnly="0" labelOnly="1" outline="0" fieldPosition="0">
        <references count="3">
          <reference field="6" count="1" selected="0">
            <x v="284"/>
          </reference>
          <reference field="8" count="1" selected="0">
            <x v="284"/>
          </reference>
          <reference field="9" count="1">
            <x v="162"/>
          </reference>
        </references>
      </pivotArea>
    </format>
    <format dxfId="334">
      <pivotArea dataOnly="0" labelOnly="1" outline="0" fieldPosition="0">
        <references count="3">
          <reference field="6" count="1" selected="0">
            <x v="285"/>
          </reference>
          <reference field="8" count="1" selected="0">
            <x v="285"/>
          </reference>
          <reference field="9" count="1">
            <x v="163"/>
          </reference>
        </references>
      </pivotArea>
    </format>
    <format dxfId="333">
      <pivotArea dataOnly="0" labelOnly="1" outline="0" fieldPosition="0">
        <references count="3">
          <reference field="6" count="1" selected="0">
            <x v="286"/>
          </reference>
          <reference field="8" count="1" selected="0">
            <x v="286"/>
          </reference>
          <reference field="9" count="1">
            <x v="164"/>
          </reference>
        </references>
      </pivotArea>
    </format>
    <format dxfId="332">
      <pivotArea dataOnly="0" labelOnly="1" outline="0" fieldPosition="0">
        <references count="3">
          <reference field="6" count="1" selected="0">
            <x v="287"/>
          </reference>
          <reference field="8" count="1" selected="0">
            <x v="287"/>
          </reference>
          <reference field="9" count="1">
            <x v="165"/>
          </reference>
        </references>
      </pivotArea>
    </format>
    <format dxfId="331">
      <pivotArea dataOnly="0" labelOnly="1" outline="0" fieldPosition="0">
        <references count="3">
          <reference field="6" count="1" selected="0">
            <x v="288"/>
          </reference>
          <reference field="8" count="1" selected="0">
            <x v="288"/>
          </reference>
          <reference field="9" count="1">
            <x v="166"/>
          </reference>
        </references>
      </pivotArea>
    </format>
    <format dxfId="330">
      <pivotArea dataOnly="0" labelOnly="1" outline="0" fieldPosition="0">
        <references count="3">
          <reference field="6" count="1" selected="0">
            <x v="289"/>
          </reference>
          <reference field="8" count="1" selected="0">
            <x v="289"/>
          </reference>
          <reference field="9" count="1">
            <x v="167"/>
          </reference>
        </references>
      </pivotArea>
    </format>
    <format dxfId="329">
      <pivotArea dataOnly="0" labelOnly="1" outline="0" fieldPosition="0">
        <references count="3">
          <reference field="6" count="1" selected="0">
            <x v="290"/>
          </reference>
          <reference field="8" count="1" selected="0">
            <x v="290"/>
          </reference>
          <reference field="9" count="1">
            <x v="168"/>
          </reference>
        </references>
      </pivotArea>
    </format>
    <format dxfId="328">
      <pivotArea dataOnly="0" labelOnly="1" outline="0" fieldPosition="0">
        <references count="3">
          <reference field="6" count="1" selected="0">
            <x v="291"/>
          </reference>
          <reference field="8" count="1" selected="0">
            <x v="291"/>
          </reference>
          <reference field="9" count="1">
            <x v="169"/>
          </reference>
        </references>
      </pivotArea>
    </format>
    <format dxfId="327">
      <pivotArea dataOnly="0" labelOnly="1" outline="0" fieldPosition="0">
        <references count="3">
          <reference field="6" count="1" selected="0">
            <x v="292"/>
          </reference>
          <reference field="8" count="1" selected="0">
            <x v="292"/>
          </reference>
          <reference field="9" count="1">
            <x v="170"/>
          </reference>
        </references>
      </pivotArea>
    </format>
    <format dxfId="326">
      <pivotArea dataOnly="0" labelOnly="1" outline="0" fieldPosition="0">
        <references count="3">
          <reference field="6" count="1" selected="0">
            <x v="293"/>
          </reference>
          <reference field="8" count="1" selected="0">
            <x v="293"/>
          </reference>
          <reference field="9" count="1">
            <x v="171"/>
          </reference>
        </references>
      </pivotArea>
    </format>
    <format dxfId="325">
      <pivotArea dataOnly="0" labelOnly="1" outline="0" fieldPosition="0">
        <references count="3">
          <reference field="6" count="1" selected="0">
            <x v="294"/>
          </reference>
          <reference field="8" count="1" selected="0">
            <x v="294"/>
          </reference>
          <reference field="9" count="1">
            <x v="172"/>
          </reference>
        </references>
      </pivotArea>
    </format>
    <format dxfId="324">
      <pivotArea dataOnly="0" labelOnly="1" outline="0" fieldPosition="0">
        <references count="3">
          <reference field="6" count="1" selected="0">
            <x v="295"/>
          </reference>
          <reference field="8" count="1" selected="0">
            <x v="295"/>
          </reference>
          <reference field="9" count="1">
            <x v="173"/>
          </reference>
        </references>
      </pivotArea>
    </format>
    <format dxfId="323">
      <pivotArea dataOnly="0" labelOnly="1" outline="0" fieldPosition="0">
        <references count="3">
          <reference field="6" count="1" selected="0">
            <x v="296"/>
          </reference>
          <reference field="8" count="1" selected="0">
            <x v="296"/>
          </reference>
          <reference field="9" count="1">
            <x v="174"/>
          </reference>
        </references>
      </pivotArea>
    </format>
    <format dxfId="322">
      <pivotArea dataOnly="0" labelOnly="1" outline="0" fieldPosition="0">
        <references count="3">
          <reference field="6" count="1" selected="0">
            <x v="298"/>
          </reference>
          <reference field="8" count="1" selected="0">
            <x v="298"/>
          </reference>
          <reference field="9" count="1">
            <x v="175"/>
          </reference>
        </references>
      </pivotArea>
    </format>
    <format dxfId="321">
      <pivotArea dataOnly="0" labelOnly="1" outline="0" fieldPosition="0">
        <references count="3">
          <reference field="6" count="1" selected="0">
            <x v="299"/>
          </reference>
          <reference field="8" count="1" selected="0">
            <x v="299"/>
          </reference>
          <reference field="9" count="1">
            <x v="176"/>
          </reference>
        </references>
      </pivotArea>
    </format>
    <format dxfId="320">
      <pivotArea dataOnly="0" labelOnly="1" outline="0" fieldPosition="0">
        <references count="3">
          <reference field="6" count="1" selected="0">
            <x v="300"/>
          </reference>
          <reference field="8" count="1" selected="0">
            <x v="300"/>
          </reference>
          <reference field="9" count="1">
            <x v="177"/>
          </reference>
        </references>
      </pivotArea>
    </format>
    <format dxfId="319">
      <pivotArea dataOnly="0" labelOnly="1" outline="0" fieldPosition="0">
        <references count="3">
          <reference field="6" count="1" selected="0">
            <x v="302"/>
          </reference>
          <reference field="8" count="1" selected="0">
            <x v="302"/>
          </reference>
          <reference field="9" count="1">
            <x v="178"/>
          </reference>
        </references>
      </pivotArea>
    </format>
    <format dxfId="318">
      <pivotArea dataOnly="0" labelOnly="1" outline="0" fieldPosition="0">
        <references count="3">
          <reference field="6" count="1" selected="0">
            <x v="304"/>
          </reference>
          <reference field="8" count="1" selected="0">
            <x v="304"/>
          </reference>
          <reference field="9" count="1">
            <x v="179"/>
          </reference>
        </references>
      </pivotArea>
    </format>
    <format dxfId="317">
      <pivotArea dataOnly="0" labelOnly="1" outline="0" fieldPosition="0">
        <references count="3">
          <reference field="6" count="1" selected="0">
            <x v="305"/>
          </reference>
          <reference field="8" count="1" selected="0">
            <x v="305"/>
          </reference>
          <reference field="9" count="1">
            <x v="180"/>
          </reference>
        </references>
      </pivotArea>
    </format>
    <format dxfId="316">
      <pivotArea dataOnly="0" labelOnly="1" outline="0" fieldPosition="0">
        <references count="3">
          <reference field="6" count="1" selected="0">
            <x v="307"/>
          </reference>
          <reference field="8" count="1" selected="0">
            <x v="307"/>
          </reference>
          <reference field="9" count="1">
            <x v="181"/>
          </reference>
        </references>
      </pivotArea>
    </format>
    <format dxfId="315">
      <pivotArea dataOnly="0" labelOnly="1" outline="0" fieldPosition="0">
        <references count="4">
          <reference field="2" count="1">
            <x v="0"/>
          </reference>
          <reference field="6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format>
    <format dxfId="314">
      <pivotArea dataOnly="0" labelOnly="1" outline="0" fieldPosition="0">
        <references count="4">
          <reference field="2" count="1">
            <x v="0"/>
          </reference>
          <reference field="6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format>
    <format dxfId="313">
      <pivotArea dataOnly="0" labelOnly="1" outline="0" fieldPosition="0">
        <references count="4">
          <reference field="2" count="1">
            <x v="0"/>
          </reference>
          <reference field="6" count="1" selected="0">
            <x v="2"/>
          </reference>
          <reference field="8" count="1" selected="0">
            <x v="2"/>
          </reference>
          <reference field="9" count="1" selected="0">
            <x v="0"/>
          </reference>
        </references>
      </pivotArea>
    </format>
    <format dxfId="312">
      <pivotArea dataOnly="0" labelOnly="1" outline="0" fieldPosition="0">
        <references count="4">
          <reference field="2" count="1">
            <x v="0"/>
          </reference>
          <reference field="6" count="1" selected="0">
            <x v="3"/>
          </reference>
          <reference field="8" count="1" selected="0">
            <x v="3"/>
          </reference>
          <reference field="9" count="1" selected="0">
            <x v="1"/>
          </reference>
        </references>
      </pivotArea>
    </format>
    <format dxfId="311">
      <pivotArea dataOnly="0" labelOnly="1" outline="0" fieldPosition="0">
        <references count="4">
          <reference field="2" count="1">
            <x v="0"/>
          </reference>
          <reference field="6" count="1" selected="0">
            <x v="4"/>
          </reference>
          <reference field="8" count="1" selected="0">
            <x v="4"/>
          </reference>
          <reference field="9" count="1" selected="0">
            <x v="1"/>
          </reference>
        </references>
      </pivotArea>
    </format>
    <format dxfId="310">
      <pivotArea dataOnly="0" labelOnly="1" outline="0" fieldPosition="0">
        <references count="4">
          <reference field="2" count="1">
            <x v="0"/>
          </reference>
          <reference field="6" count="1" selected="0">
            <x v="5"/>
          </reference>
          <reference field="8" count="1" selected="0">
            <x v="5"/>
          </reference>
          <reference field="9" count="1" selected="0">
            <x v="1"/>
          </reference>
        </references>
      </pivotArea>
    </format>
    <format dxfId="309">
      <pivotArea dataOnly="0" labelOnly="1" outline="0" fieldPosition="0">
        <references count="4">
          <reference field="2" count="1">
            <x v="0"/>
          </reference>
          <reference field="6" count="1" selected="0">
            <x v="6"/>
          </reference>
          <reference field="8" count="1" selected="0">
            <x v="6"/>
          </reference>
          <reference field="9" count="1" selected="0">
            <x v="2"/>
          </reference>
        </references>
      </pivotArea>
    </format>
    <format dxfId="308">
      <pivotArea dataOnly="0" labelOnly="1" outline="0" fieldPosition="0">
        <references count="4">
          <reference field="2" count="1">
            <x v="0"/>
          </reference>
          <reference field="6" count="1" selected="0">
            <x v="7"/>
          </reference>
          <reference field="8" count="1" selected="0">
            <x v="7"/>
          </reference>
          <reference field="9" count="1" selected="0">
            <x v="2"/>
          </reference>
        </references>
      </pivotArea>
    </format>
    <format dxfId="307">
      <pivotArea dataOnly="0" labelOnly="1" outline="0" fieldPosition="0">
        <references count="4">
          <reference field="2" count="1">
            <x v="0"/>
          </reference>
          <reference field="6" count="1" selected="0">
            <x v="8"/>
          </reference>
          <reference field="8" count="1" selected="0">
            <x v="8"/>
          </reference>
          <reference field="9" count="1" selected="0">
            <x v="3"/>
          </reference>
        </references>
      </pivotArea>
    </format>
    <format dxfId="306">
      <pivotArea dataOnly="0" labelOnly="1" outline="0" fieldPosition="0">
        <references count="4">
          <reference field="2" count="1">
            <x v="0"/>
          </reference>
          <reference field="6" count="1" selected="0">
            <x v="9"/>
          </reference>
          <reference field="8" count="1" selected="0">
            <x v="9"/>
          </reference>
          <reference field="9" count="1" selected="0">
            <x v="3"/>
          </reference>
        </references>
      </pivotArea>
    </format>
    <format dxfId="305">
      <pivotArea dataOnly="0" labelOnly="1" outline="0" fieldPosition="0">
        <references count="4">
          <reference field="2" count="1">
            <x v="0"/>
          </reference>
          <reference field="6" count="1" selected="0">
            <x v="10"/>
          </reference>
          <reference field="8" count="1" selected="0">
            <x v="10"/>
          </reference>
          <reference field="9" count="1" selected="0">
            <x v="3"/>
          </reference>
        </references>
      </pivotArea>
    </format>
    <format dxfId="304">
      <pivotArea dataOnly="0" labelOnly="1" outline="0" fieldPosition="0">
        <references count="4">
          <reference field="2" count="1">
            <x v="0"/>
          </reference>
          <reference field="6" count="1" selected="0">
            <x v="11"/>
          </reference>
          <reference field="8" count="1" selected="0">
            <x v="11"/>
          </reference>
          <reference field="9" count="1" selected="0">
            <x v="4"/>
          </reference>
        </references>
      </pivotArea>
    </format>
    <format dxfId="303">
      <pivotArea dataOnly="0" labelOnly="1" outline="0" fieldPosition="0">
        <references count="4">
          <reference field="2" count="1">
            <x v="0"/>
          </reference>
          <reference field="6" count="1" selected="0">
            <x v="12"/>
          </reference>
          <reference field="8" count="1" selected="0">
            <x v="12"/>
          </reference>
          <reference field="9" count="1" selected="0">
            <x v="4"/>
          </reference>
        </references>
      </pivotArea>
    </format>
    <format dxfId="302">
      <pivotArea dataOnly="0" labelOnly="1" outline="0" fieldPosition="0">
        <references count="4">
          <reference field="2" count="1">
            <x v="0"/>
          </reference>
          <reference field="6" count="1" selected="0">
            <x v="13"/>
          </reference>
          <reference field="8" count="1" selected="0">
            <x v="13"/>
          </reference>
          <reference field="9" count="1" selected="0">
            <x v="5"/>
          </reference>
        </references>
      </pivotArea>
    </format>
    <format dxfId="301">
      <pivotArea dataOnly="0" labelOnly="1" outline="0" fieldPosition="0">
        <references count="4">
          <reference field="2" count="1">
            <x v="0"/>
          </reference>
          <reference field="6" count="1" selected="0">
            <x v="14"/>
          </reference>
          <reference field="8" count="1" selected="0">
            <x v="14"/>
          </reference>
          <reference field="9" count="1" selected="0">
            <x v="5"/>
          </reference>
        </references>
      </pivotArea>
    </format>
    <format dxfId="300">
      <pivotArea dataOnly="0" labelOnly="1" outline="0" fieldPosition="0">
        <references count="4">
          <reference field="2" count="1">
            <x v="0"/>
          </reference>
          <reference field="6" count="1" selected="0">
            <x v="15"/>
          </reference>
          <reference field="8" count="1" selected="0">
            <x v="15"/>
          </reference>
          <reference field="9" count="1" selected="0">
            <x v="5"/>
          </reference>
        </references>
      </pivotArea>
    </format>
    <format dxfId="299">
      <pivotArea dataOnly="0" labelOnly="1" outline="0" fieldPosition="0">
        <references count="4">
          <reference field="2" count="1">
            <x v="0"/>
          </reference>
          <reference field="6" count="1" selected="0">
            <x v="16"/>
          </reference>
          <reference field="8" count="1" selected="0">
            <x v="16"/>
          </reference>
          <reference field="9" count="1" selected="0">
            <x v="6"/>
          </reference>
        </references>
      </pivotArea>
    </format>
    <format dxfId="298">
      <pivotArea dataOnly="0" labelOnly="1" outline="0" fieldPosition="0">
        <references count="4">
          <reference field="2" count="1">
            <x v="0"/>
          </reference>
          <reference field="6" count="1" selected="0">
            <x v="17"/>
          </reference>
          <reference field="8" count="1" selected="0">
            <x v="17"/>
          </reference>
          <reference field="9" count="1" selected="0">
            <x v="6"/>
          </reference>
        </references>
      </pivotArea>
    </format>
    <format dxfId="297">
      <pivotArea dataOnly="0" labelOnly="1" outline="0" fieldPosition="0">
        <references count="4">
          <reference field="2" count="1">
            <x v="0"/>
          </reference>
          <reference field="6" count="1" selected="0">
            <x v="18"/>
          </reference>
          <reference field="8" count="1" selected="0">
            <x v="18"/>
          </reference>
          <reference field="9" count="1" selected="0">
            <x v="6"/>
          </reference>
        </references>
      </pivotArea>
    </format>
    <format dxfId="296">
      <pivotArea dataOnly="0" labelOnly="1" outline="0" fieldPosition="0">
        <references count="4">
          <reference field="2" count="1">
            <x v="0"/>
          </reference>
          <reference field="6" count="1" selected="0">
            <x v="19"/>
          </reference>
          <reference field="8" count="1" selected="0">
            <x v="19"/>
          </reference>
          <reference field="9" count="1" selected="0">
            <x v="7"/>
          </reference>
        </references>
      </pivotArea>
    </format>
    <format dxfId="295">
      <pivotArea dataOnly="0" labelOnly="1" outline="0" fieldPosition="0">
        <references count="4">
          <reference field="2" count="1">
            <x v="0"/>
          </reference>
          <reference field="6" count="1" selected="0">
            <x v="20"/>
          </reference>
          <reference field="8" count="1" selected="0">
            <x v="20"/>
          </reference>
          <reference field="9" count="1" selected="0">
            <x v="7"/>
          </reference>
        </references>
      </pivotArea>
    </format>
    <format dxfId="294">
      <pivotArea dataOnly="0" labelOnly="1" outline="0" fieldPosition="0">
        <references count="4">
          <reference field="2" count="1">
            <x v="0"/>
          </reference>
          <reference field="6" count="1" selected="0">
            <x v="21"/>
          </reference>
          <reference field="8" count="1" selected="0">
            <x v="21"/>
          </reference>
          <reference field="9" count="1" selected="0">
            <x v="7"/>
          </reference>
        </references>
      </pivotArea>
    </format>
    <format dxfId="293">
      <pivotArea dataOnly="0" labelOnly="1" outline="0" fieldPosition="0">
        <references count="4">
          <reference field="2" count="1">
            <x v="0"/>
          </reference>
          <reference field="6" count="1" selected="0">
            <x v="22"/>
          </reference>
          <reference field="8" count="1" selected="0">
            <x v="22"/>
          </reference>
          <reference field="9" count="1" selected="0">
            <x v="8"/>
          </reference>
        </references>
      </pivotArea>
    </format>
    <format dxfId="292">
      <pivotArea dataOnly="0" labelOnly="1" outline="0" fieldPosition="0">
        <references count="4">
          <reference field="2" count="1">
            <x v="0"/>
          </reference>
          <reference field="6" count="1" selected="0">
            <x v="23"/>
          </reference>
          <reference field="8" count="1" selected="0">
            <x v="23"/>
          </reference>
          <reference field="9" count="1" selected="0">
            <x v="8"/>
          </reference>
        </references>
      </pivotArea>
    </format>
    <format dxfId="291">
      <pivotArea dataOnly="0" labelOnly="1" outline="0" fieldPosition="0">
        <references count="4">
          <reference field="2" count="1">
            <x v="0"/>
          </reference>
          <reference field="6" count="1" selected="0">
            <x v="24"/>
          </reference>
          <reference field="8" count="1" selected="0">
            <x v="24"/>
          </reference>
          <reference field="9" count="1" selected="0">
            <x v="9"/>
          </reference>
        </references>
      </pivotArea>
    </format>
    <format dxfId="290">
      <pivotArea dataOnly="0" labelOnly="1" outline="0" fieldPosition="0">
        <references count="4">
          <reference field="2" count="1">
            <x v="0"/>
          </reference>
          <reference field="6" count="1" selected="0">
            <x v="25"/>
          </reference>
          <reference field="8" count="1" selected="0">
            <x v="25"/>
          </reference>
          <reference field="9" count="1" selected="0">
            <x v="9"/>
          </reference>
        </references>
      </pivotArea>
    </format>
    <format dxfId="289">
      <pivotArea dataOnly="0" labelOnly="1" outline="0" fieldPosition="0">
        <references count="4">
          <reference field="2" count="1">
            <x v="0"/>
          </reference>
          <reference field="6" count="1" selected="0">
            <x v="26"/>
          </reference>
          <reference field="8" count="1" selected="0">
            <x v="26"/>
          </reference>
          <reference field="9" count="1" selected="0">
            <x v="9"/>
          </reference>
        </references>
      </pivotArea>
    </format>
    <format dxfId="288">
      <pivotArea dataOnly="0" labelOnly="1" outline="0" fieldPosition="0">
        <references count="4">
          <reference field="2" count="1">
            <x v="0"/>
          </reference>
          <reference field="6" count="1" selected="0">
            <x v="27"/>
          </reference>
          <reference field="8" count="1" selected="0">
            <x v="27"/>
          </reference>
          <reference field="9" count="1" selected="0">
            <x v="9"/>
          </reference>
        </references>
      </pivotArea>
    </format>
    <format dxfId="287">
      <pivotArea dataOnly="0" labelOnly="1" outline="0" fieldPosition="0">
        <references count="4">
          <reference field="2" count="1">
            <x v="0"/>
          </reference>
          <reference field="6" count="1" selected="0">
            <x v="28"/>
          </reference>
          <reference field="8" count="1" selected="0">
            <x v="28"/>
          </reference>
          <reference field="9" count="1" selected="0">
            <x v="10"/>
          </reference>
        </references>
      </pivotArea>
    </format>
    <format dxfId="286">
      <pivotArea dataOnly="0" labelOnly="1" outline="0" fieldPosition="0">
        <references count="4">
          <reference field="2" count="1">
            <x v="0"/>
          </reference>
          <reference field="6" count="1" selected="0">
            <x v="29"/>
          </reference>
          <reference field="8" count="1" selected="0">
            <x v="29"/>
          </reference>
          <reference field="9" count="1" selected="0">
            <x v="10"/>
          </reference>
        </references>
      </pivotArea>
    </format>
    <format dxfId="285">
      <pivotArea dataOnly="0" labelOnly="1" outline="0" fieldPosition="0">
        <references count="4">
          <reference field="2" count="1">
            <x v="0"/>
          </reference>
          <reference field="6" count="1" selected="0">
            <x v="30"/>
          </reference>
          <reference field="8" count="1" selected="0">
            <x v="30"/>
          </reference>
          <reference field="9" count="1" selected="0">
            <x v="11"/>
          </reference>
        </references>
      </pivotArea>
    </format>
    <format dxfId="284">
      <pivotArea dataOnly="0" labelOnly="1" outline="0" fieldPosition="0">
        <references count="4">
          <reference field="2" count="1">
            <x v="0"/>
          </reference>
          <reference field="6" count="1" selected="0">
            <x v="31"/>
          </reference>
          <reference field="8" count="1" selected="0">
            <x v="31"/>
          </reference>
          <reference field="9" count="1" selected="0">
            <x v="11"/>
          </reference>
        </references>
      </pivotArea>
    </format>
    <format dxfId="283">
      <pivotArea dataOnly="0" labelOnly="1" outline="0" fieldPosition="0">
        <references count="4">
          <reference field="2" count="1">
            <x v="0"/>
          </reference>
          <reference field="6" count="1" selected="0">
            <x v="32"/>
          </reference>
          <reference field="8" count="1" selected="0">
            <x v="32"/>
          </reference>
          <reference field="9" count="1" selected="0">
            <x v="11"/>
          </reference>
        </references>
      </pivotArea>
    </format>
    <format dxfId="282">
      <pivotArea dataOnly="0" labelOnly="1" outline="0" fieldPosition="0">
        <references count="4">
          <reference field="2" count="1">
            <x v="0"/>
          </reference>
          <reference field="6" count="1" selected="0">
            <x v="33"/>
          </reference>
          <reference field="8" count="1" selected="0">
            <x v="33"/>
          </reference>
          <reference field="9" count="1" selected="0">
            <x v="12"/>
          </reference>
        </references>
      </pivotArea>
    </format>
    <format dxfId="281">
      <pivotArea dataOnly="0" labelOnly="1" outline="0" fieldPosition="0">
        <references count="4">
          <reference field="2" count="1">
            <x v="0"/>
          </reference>
          <reference field="6" count="1" selected="0">
            <x v="34"/>
          </reference>
          <reference field="8" count="1" selected="0">
            <x v="34"/>
          </reference>
          <reference field="9" count="1" selected="0">
            <x v="12"/>
          </reference>
        </references>
      </pivotArea>
    </format>
    <format dxfId="280">
      <pivotArea dataOnly="0" labelOnly="1" outline="0" fieldPosition="0">
        <references count="4">
          <reference field="2" count="1">
            <x v="0"/>
          </reference>
          <reference field="6" count="1" selected="0">
            <x v="35"/>
          </reference>
          <reference field="8" count="1" selected="0">
            <x v="35"/>
          </reference>
          <reference field="9" count="1" selected="0">
            <x v="13"/>
          </reference>
        </references>
      </pivotArea>
    </format>
    <format dxfId="279">
      <pivotArea dataOnly="0" labelOnly="1" outline="0" fieldPosition="0">
        <references count="4">
          <reference field="2" count="1">
            <x v="0"/>
          </reference>
          <reference field="6" count="1" selected="0">
            <x v="36"/>
          </reference>
          <reference field="8" count="1" selected="0">
            <x v="36"/>
          </reference>
          <reference field="9" count="1" selected="0">
            <x v="13"/>
          </reference>
        </references>
      </pivotArea>
    </format>
    <format dxfId="278">
      <pivotArea dataOnly="0" labelOnly="1" outline="0" fieldPosition="0">
        <references count="4">
          <reference field="2" count="1">
            <x v="0"/>
          </reference>
          <reference field="6" count="1" selected="0">
            <x v="37"/>
          </reference>
          <reference field="8" count="1" selected="0">
            <x v="37"/>
          </reference>
          <reference field="9" count="1" selected="0">
            <x v="14"/>
          </reference>
        </references>
      </pivotArea>
    </format>
    <format dxfId="277">
      <pivotArea dataOnly="0" labelOnly="1" outline="0" fieldPosition="0">
        <references count="4">
          <reference field="2" count="1">
            <x v="0"/>
          </reference>
          <reference field="6" count="1" selected="0">
            <x v="38"/>
          </reference>
          <reference field="8" count="1" selected="0">
            <x v="38"/>
          </reference>
          <reference field="9" count="1" selected="0">
            <x v="14"/>
          </reference>
        </references>
      </pivotArea>
    </format>
    <format dxfId="276">
      <pivotArea dataOnly="0" labelOnly="1" outline="0" fieldPosition="0">
        <references count="4">
          <reference field="2" count="1">
            <x v="0"/>
          </reference>
          <reference field="6" count="1" selected="0">
            <x v="39"/>
          </reference>
          <reference field="8" count="1" selected="0">
            <x v="39"/>
          </reference>
          <reference field="9" count="1" selected="0">
            <x v="14"/>
          </reference>
        </references>
      </pivotArea>
    </format>
    <format dxfId="275">
      <pivotArea dataOnly="0" labelOnly="1" outline="0" fieldPosition="0">
        <references count="4">
          <reference field="2" count="1">
            <x v="0"/>
          </reference>
          <reference field="6" count="1" selected="0">
            <x v="40"/>
          </reference>
          <reference field="8" count="1" selected="0">
            <x v="40"/>
          </reference>
          <reference field="9" count="1" selected="0">
            <x v="14"/>
          </reference>
        </references>
      </pivotArea>
    </format>
    <format dxfId="274">
      <pivotArea dataOnly="0" labelOnly="1" outline="0" fieldPosition="0">
        <references count="4">
          <reference field="2" count="1">
            <x v="0"/>
          </reference>
          <reference field="6" count="1" selected="0">
            <x v="41"/>
          </reference>
          <reference field="8" count="1" selected="0">
            <x v="41"/>
          </reference>
          <reference field="9" count="1" selected="0">
            <x v="14"/>
          </reference>
        </references>
      </pivotArea>
    </format>
    <format dxfId="273">
      <pivotArea dataOnly="0" labelOnly="1" outline="0" fieldPosition="0">
        <references count="4">
          <reference field="2" count="1">
            <x v="0"/>
          </reference>
          <reference field="6" count="1" selected="0">
            <x v="42"/>
          </reference>
          <reference field="8" count="1" selected="0">
            <x v="42"/>
          </reference>
          <reference field="9" count="1" selected="0">
            <x v="15"/>
          </reference>
        </references>
      </pivotArea>
    </format>
    <format dxfId="272">
      <pivotArea dataOnly="0" labelOnly="1" outline="0" fieldPosition="0">
        <references count="4">
          <reference field="2" count="1">
            <x v="0"/>
          </reference>
          <reference field="6" count="1" selected="0">
            <x v="43"/>
          </reference>
          <reference field="8" count="1" selected="0">
            <x v="43"/>
          </reference>
          <reference field="9" count="1" selected="0">
            <x v="15"/>
          </reference>
        </references>
      </pivotArea>
    </format>
    <format dxfId="271">
      <pivotArea dataOnly="0" labelOnly="1" outline="0" fieldPosition="0">
        <references count="4">
          <reference field="2" count="1">
            <x v="0"/>
          </reference>
          <reference field="6" count="1" selected="0">
            <x v="44"/>
          </reference>
          <reference field="8" count="1" selected="0">
            <x v="44"/>
          </reference>
          <reference field="9" count="1" selected="0">
            <x v="15"/>
          </reference>
        </references>
      </pivotArea>
    </format>
    <format dxfId="270">
      <pivotArea dataOnly="0" labelOnly="1" outline="0" fieldPosition="0">
        <references count="4">
          <reference field="2" count="1">
            <x v="0"/>
          </reference>
          <reference field="6" count="1" selected="0">
            <x v="45"/>
          </reference>
          <reference field="8" count="1" selected="0">
            <x v="45"/>
          </reference>
          <reference field="9" count="1" selected="0">
            <x v="15"/>
          </reference>
        </references>
      </pivotArea>
    </format>
    <format dxfId="269">
      <pivotArea dataOnly="0" labelOnly="1" outline="0" fieldPosition="0">
        <references count="4">
          <reference field="2" count="1">
            <x v="0"/>
          </reference>
          <reference field="6" count="1" selected="0">
            <x v="46"/>
          </reference>
          <reference field="8" count="1" selected="0">
            <x v="46"/>
          </reference>
          <reference field="9" count="1" selected="0">
            <x v="15"/>
          </reference>
        </references>
      </pivotArea>
    </format>
    <format dxfId="268">
      <pivotArea dataOnly="0" labelOnly="1" outline="0" fieldPosition="0">
        <references count="4">
          <reference field="2" count="1">
            <x v="0"/>
          </reference>
          <reference field="6" count="1" selected="0">
            <x v="47"/>
          </reference>
          <reference field="8" count="1" selected="0">
            <x v="47"/>
          </reference>
          <reference field="9" count="1" selected="0">
            <x v="16"/>
          </reference>
        </references>
      </pivotArea>
    </format>
    <format dxfId="267">
      <pivotArea dataOnly="0" labelOnly="1" outline="0" fieldPosition="0">
        <references count="4">
          <reference field="2" count="1">
            <x v="0"/>
          </reference>
          <reference field="6" count="1" selected="0">
            <x v="48"/>
          </reference>
          <reference field="8" count="1" selected="0">
            <x v="48"/>
          </reference>
          <reference field="9" count="1" selected="0">
            <x v="17"/>
          </reference>
        </references>
      </pivotArea>
    </format>
    <format dxfId="266">
      <pivotArea dataOnly="0" labelOnly="1" outline="0" fieldPosition="0">
        <references count="4">
          <reference field="2" count="1">
            <x v="0"/>
          </reference>
          <reference field="6" count="1" selected="0">
            <x v="49"/>
          </reference>
          <reference field="8" count="1" selected="0">
            <x v="49"/>
          </reference>
          <reference field="9" count="1" selected="0">
            <x v="18"/>
          </reference>
        </references>
      </pivotArea>
    </format>
    <format dxfId="265">
      <pivotArea dataOnly="0" labelOnly="1" outline="0" fieldPosition="0">
        <references count="4">
          <reference field="2" count="1">
            <x v="0"/>
          </reference>
          <reference field="6" count="1" selected="0">
            <x v="50"/>
          </reference>
          <reference field="8" count="1" selected="0">
            <x v="50"/>
          </reference>
          <reference field="9" count="1" selected="0">
            <x v="19"/>
          </reference>
        </references>
      </pivotArea>
    </format>
    <format dxfId="264">
      <pivotArea dataOnly="0" labelOnly="1" outline="0" fieldPosition="0">
        <references count="4">
          <reference field="2" count="1">
            <x v="0"/>
          </reference>
          <reference field="6" count="1" selected="0">
            <x v="51"/>
          </reference>
          <reference field="8" count="1" selected="0">
            <x v="51"/>
          </reference>
          <reference field="9" count="1" selected="0">
            <x v="20"/>
          </reference>
        </references>
      </pivotArea>
    </format>
    <format dxfId="263">
      <pivotArea dataOnly="0" labelOnly="1" outline="0" fieldPosition="0">
        <references count="4">
          <reference field="2" count="1">
            <x v="0"/>
          </reference>
          <reference field="6" count="1" selected="0">
            <x v="52"/>
          </reference>
          <reference field="8" count="1" selected="0">
            <x v="52"/>
          </reference>
          <reference field="9" count="1" selected="0">
            <x v="21"/>
          </reference>
        </references>
      </pivotArea>
    </format>
    <format dxfId="262">
      <pivotArea dataOnly="0" labelOnly="1" outline="0" fieldPosition="0">
        <references count="4">
          <reference field="2" count="1">
            <x v="0"/>
          </reference>
          <reference field="6" count="1" selected="0">
            <x v="53"/>
          </reference>
          <reference field="8" count="1" selected="0">
            <x v="53"/>
          </reference>
          <reference field="9" count="1" selected="0">
            <x v="22"/>
          </reference>
        </references>
      </pivotArea>
    </format>
    <format dxfId="261">
      <pivotArea dataOnly="0" labelOnly="1" outline="0" fieldPosition="0">
        <references count="4">
          <reference field="2" count="1">
            <x v="0"/>
          </reference>
          <reference field="6" count="1" selected="0">
            <x v="54"/>
          </reference>
          <reference field="8" count="1" selected="0">
            <x v="54"/>
          </reference>
          <reference field="9" count="1" selected="0">
            <x v="23"/>
          </reference>
        </references>
      </pivotArea>
    </format>
    <format dxfId="260">
      <pivotArea dataOnly="0" labelOnly="1" outline="0" fieldPosition="0">
        <references count="4">
          <reference field="2" count="1">
            <x v="0"/>
          </reference>
          <reference field="6" count="1" selected="0">
            <x v="55"/>
          </reference>
          <reference field="8" count="1" selected="0">
            <x v="55"/>
          </reference>
          <reference field="9" count="1" selected="0">
            <x v="24"/>
          </reference>
        </references>
      </pivotArea>
    </format>
    <format dxfId="259">
      <pivotArea dataOnly="0" labelOnly="1" outline="0" fieldPosition="0">
        <references count="4">
          <reference field="2" count="1">
            <x v="0"/>
          </reference>
          <reference field="6" count="1" selected="0">
            <x v="56"/>
          </reference>
          <reference field="8" count="1" selected="0">
            <x v="56"/>
          </reference>
          <reference field="9" count="1" selected="0">
            <x v="24"/>
          </reference>
        </references>
      </pivotArea>
    </format>
    <format dxfId="258">
      <pivotArea dataOnly="0" labelOnly="1" outline="0" fieldPosition="0">
        <references count="4">
          <reference field="2" count="1">
            <x v="0"/>
          </reference>
          <reference field="6" count="1" selected="0">
            <x v="57"/>
          </reference>
          <reference field="8" count="1" selected="0">
            <x v="57"/>
          </reference>
          <reference field="9" count="1" selected="0">
            <x v="24"/>
          </reference>
        </references>
      </pivotArea>
    </format>
    <format dxfId="257">
      <pivotArea dataOnly="0" labelOnly="1" outline="0" fieldPosition="0">
        <references count="4">
          <reference field="2" count="1">
            <x v="0"/>
          </reference>
          <reference field="6" count="1" selected="0">
            <x v="58"/>
          </reference>
          <reference field="8" count="1" selected="0">
            <x v="58"/>
          </reference>
          <reference field="9" count="1" selected="0">
            <x v="25"/>
          </reference>
        </references>
      </pivotArea>
    </format>
    <format dxfId="256">
      <pivotArea dataOnly="0" labelOnly="1" outline="0" fieldPosition="0">
        <references count="4">
          <reference field="2" count="1">
            <x v="0"/>
          </reference>
          <reference field="6" count="1" selected="0">
            <x v="59"/>
          </reference>
          <reference field="8" count="1" selected="0">
            <x v="59"/>
          </reference>
          <reference field="9" count="1" selected="0">
            <x v="25"/>
          </reference>
        </references>
      </pivotArea>
    </format>
    <format dxfId="255">
      <pivotArea dataOnly="0" labelOnly="1" outline="0" fieldPosition="0">
        <references count="4">
          <reference field="2" count="1">
            <x v="0"/>
          </reference>
          <reference field="6" count="1" selected="0">
            <x v="60"/>
          </reference>
          <reference field="8" count="1" selected="0">
            <x v="60"/>
          </reference>
          <reference field="9" count="1" selected="0">
            <x v="25"/>
          </reference>
        </references>
      </pivotArea>
    </format>
    <format dxfId="254">
      <pivotArea dataOnly="0" labelOnly="1" outline="0" fieldPosition="0">
        <references count="4">
          <reference field="2" count="1">
            <x v="0"/>
          </reference>
          <reference field="6" count="1" selected="0">
            <x v="61"/>
          </reference>
          <reference field="8" count="1" selected="0">
            <x v="61"/>
          </reference>
          <reference field="9" count="1" selected="0">
            <x v="26"/>
          </reference>
        </references>
      </pivotArea>
    </format>
    <format dxfId="253">
      <pivotArea dataOnly="0" labelOnly="1" outline="0" fieldPosition="0">
        <references count="4">
          <reference field="2" count="1">
            <x v="0"/>
          </reference>
          <reference field="6" count="1" selected="0">
            <x v="62"/>
          </reference>
          <reference field="8" count="1" selected="0">
            <x v="62"/>
          </reference>
          <reference field="9" count="1" selected="0">
            <x v="26"/>
          </reference>
        </references>
      </pivotArea>
    </format>
    <format dxfId="252">
      <pivotArea dataOnly="0" labelOnly="1" outline="0" fieldPosition="0">
        <references count="4">
          <reference field="2" count="1">
            <x v="0"/>
          </reference>
          <reference field="6" count="1" selected="0">
            <x v="63"/>
          </reference>
          <reference field="8" count="1" selected="0">
            <x v="63"/>
          </reference>
          <reference field="9" count="1" selected="0">
            <x v="27"/>
          </reference>
        </references>
      </pivotArea>
    </format>
    <format dxfId="251">
      <pivotArea dataOnly="0" labelOnly="1" outline="0" fieldPosition="0">
        <references count="4">
          <reference field="2" count="1">
            <x v="0"/>
          </reference>
          <reference field="6" count="1" selected="0">
            <x v="64"/>
          </reference>
          <reference field="8" count="1" selected="0">
            <x v="64"/>
          </reference>
          <reference field="9" count="1" selected="0">
            <x v="27"/>
          </reference>
        </references>
      </pivotArea>
    </format>
    <format dxfId="250">
      <pivotArea dataOnly="0" labelOnly="1" outline="0" fieldPosition="0">
        <references count="4">
          <reference field="2" count="1">
            <x v="0"/>
          </reference>
          <reference field="6" count="1" selected="0">
            <x v="65"/>
          </reference>
          <reference field="8" count="1" selected="0">
            <x v="65"/>
          </reference>
          <reference field="9" count="1" selected="0">
            <x v="27"/>
          </reference>
        </references>
      </pivotArea>
    </format>
    <format dxfId="249">
      <pivotArea dataOnly="0" labelOnly="1" outline="0" fieldPosition="0">
        <references count="4">
          <reference field="2" count="1">
            <x v="0"/>
          </reference>
          <reference field="6" count="1" selected="0">
            <x v="66"/>
          </reference>
          <reference field="8" count="1" selected="0">
            <x v="66"/>
          </reference>
          <reference field="9" count="1" selected="0">
            <x v="28"/>
          </reference>
        </references>
      </pivotArea>
    </format>
    <format dxfId="248">
      <pivotArea dataOnly="0" labelOnly="1" outline="0" fieldPosition="0">
        <references count="4">
          <reference field="2" count="1">
            <x v="0"/>
          </reference>
          <reference field="6" count="1" selected="0">
            <x v="67"/>
          </reference>
          <reference field="8" count="1" selected="0">
            <x v="67"/>
          </reference>
          <reference field="9" count="1" selected="0">
            <x v="29"/>
          </reference>
        </references>
      </pivotArea>
    </format>
    <format dxfId="247">
      <pivotArea dataOnly="0" labelOnly="1" outline="0" fieldPosition="0">
        <references count="4">
          <reference field="2" count="1">
            <x v="0"/>
          </reference>
          <reference field="6" count="1" selected="0">
            <x v="68"/>
          </reference>
          <reference field="8" count="1" selected="0">
            <x v="68"/>
          </reference>
          <reference field="9" count="1" selected="0">
            <x v="30"/>
          </reference>
        </references>
      </pivotArea>
    </format>
    <format dxfId="246">
      <pivotArea dataOnly="0" labelOnly="1" outline="0" fieldPosition="0">
        <references count="4">
          <reference field="2" count="1">
            <x v="0"/>
          </reference>
          <reference field="6" count="1" selected="0">
            <x v="69"/>
          </reference>
          <reference field="8" count="1" selected="0">
            <x v="69"/>
          </reference>
          <reference field="9" count="1" selected="0">
            <x v="31"/>
          </reference>
        </references>
      </pivotArea>
    </format>
    <format dxfId="245">
      <pivotArea dataOnly="0" labelOnly="1" outline="0" fieldPosition="0">
        <references count="4">
          <reference field="2" count="1">
            <x v="0"/>
          </reference>
          <reference field="6" count="1" selected="0">
            <x v="70"/>
          </reference>
          <reference field="8" count="1" selected="0">
            <x v="70"/>
          </reference>
          <reference field="9" count="1" selected="0">
            <x v="32"/>
          </reference>
        </references>
      </pivotArea>
    </format>
    <format dxfId="244">
      <pivotArea dataOnly="0" labelOnly="1" outline="0" fieldPosition="0">
        <references count="4">
          <reference field="2" count="1">
            <x v="0"/>
          </reference>
          <reference field="6" count="1" selected="0">
            <x v="71"/>
          </reference>
          <reference field="8" count="1" selected="0">
            <x v="71"/>
          </reference>
          <reference field="9" count="1" selected="0">
            <x v="32"/>
          </reference>
        </references>
      </pivotArea>
    </format>
    <format dxfId="243">
      <pivotArea dataOnly="0" labelOnly="1" outline="0" fieldPosition="0">
        <references count="4">
          <reference field="2" count="1">
            <x v="0"/>
          </reference>
          <reference field="6" count="1" selected="0">
            <x v="72"/>
          </reference>
          <reference field="8" count="1" selected="0">
            <x v="72"/>
          </reference>
          <reference field="9" count="1" selected="0">
            <x v="33"/>
          </reference>
        </references>
      </pivotArea>
    </format>
    <format dxfId="242">
      <pivotArea dataOnly="0" labelOnly="1" outline="0" fieldPosition="0">
        <references count="4">
          <reference field="2" count="1">
            <x v="0"/>
          </reference>
          <reference field="6" count="1" selected="0">
            <x v="73"/>
          </reference>
          <reference field="8" count="1" selected="0">
            <x v="73"/>
          </reference>
          <reference field="9" count="1" selected="0">
            <x v="33"/>
          </reference>
        </references>
      </pivotArea>
    </format>
    <format dxfId="241">
      <pivotArea dataOnly="0" labelOnly="1" outline="0" fieldPosition="0">
        <references count="4">
          <reference field="2" count="1">
            <x v="0"/>
          </reference>
          <reference field="6" count="1" selected="0">
            <x v="74"/>
          </reference>
          <reference field="8" count="1" selected="0">
            <x v="74"/>
          </reference>
          <reference field="9" count="1" selected="0">
            <x v="34"/>
          </reference>
        </references>
      </pivotArea>
    </format>
    <format dxfId="240">
      <pivotArea dataOnly="0" labelOnly="1" outline="0" fieldPosition="0">
        <references count="4">
          <reference field="2" count="1">
            <x v="0"/>
          </reference>
          <reference field="6" count="1" selected="0">
            <x v="75"/>
          </reference>
          <reference field="8" count="1" selected="0">
            <x v="75"/>
          </reference>
          <reference field="9" count="1" selected="0">
            <x v="35"/>
          </reference>
        </references>
      </pivotArea>
    </format>
    <format dxfId="239">
      <pivotArea dataOnly="0" labelOnly="1" outline="0" fieldPosition="0">
        <references count="4">
          <reference field="2" count="1">
            <x v="0"/>
          </reference>
          <reference field="6" count="1" selected="0">
            <x v="78"/>
          </reference>
          <reference field="8" count="1" selected="0">
            <x v="76"/>
          </reference>
          <reference field="9" count="1" selected="0">
            <x v="37"/>
          </reference>
        </references>
      </pivotArea>
    </format>
    <format dxfId="238">
      <pivotArea dataOnly="0" labelOnly="1" outline="0" fieldPosition="0">
        <references count="4">
          <reference field="2" count="1">
            <x v="0"/>
          </reference>
          <reference field="6" count="1" selected="0">
            <x v="79"/>
          </reference>
          <reference field="8" count="1" selected="0">
            <x v="77"/>
          </reference>
          <reference field="9" count="1" selected="0">
            <x v="37"/>
          </reference>
        </references>
      </pivotArea>
    </format>
    <format dxfId="237">
      <pivotArea dataOnly="0" labelOnly="1" outline="0" fieldPosition="0">
        <references count="4">
          <reference field="2" count="1">
            <x v="0"/>
          </reference>
          <reference field="6" count="1" selected="0">
            <x v="76"/>
          </reference>
          <reference field="8" count="1" selected="0">
            <x v="78"/>
          </reference>
          <reference field="9" count="1" selected="0">
            <x v="36"/>
          </reference>
        </references>
      </pivotArea>
    </format>
    <format dxfId="236">
      <pivotArea dataOnly="0" labelOnly="1" outline="0" fieldPosition="0">
        <references count="4">
          <reference field="2" count="1">
            <x v="0"/>
          </reference>
          <reference field="6" count="1" selected="0">
            <x v="77"/>
          </reference>
          <reference field="8" count="1" selected="0">
            <x v="79"/>
          </reference>
          <reference field="9" count="1" selected="0">
            <x v="36"/>
          </reference>
        </references>
      </pivotArea>
    </format>
    <format dxfId="235">
      <pivotArea dataOnly="0" labelOnly="1" outline="0" fieldPosition="0">
        <references count="4">
          <reference field="2" count="1">
            <x v="0"/>
          </reference>
          <reference field="6" count="1" selected="0">
            <x v="80"/>
          </reference>
          <reference field="8" count="1" selected="0">
            <x v="80"/>
          </reference>
          <reference field="9" count="1" selected="0">
            <x v="38"/>
          </reference>
        </references>
      </pivotArea>
    </format>
    <format dxfId="234">
      <pivotArea dataOnly="0" labelOnly="1" outline="0" fieldPosition="0">
        <references count="4">
          <reference field="2" count="1">
            <x v="0"/>
          </reference>
          <reference field="6" count="1" selected="0">
            <x v="81"/>
          </reference>
          <reference field="8" count="1" selected="0">
            <x v="81"/>
          </reference>
          <reference field="9" count="1" selected="0">
            <x v="38"/>
          </reference>
        </references>
      </pivotArea>
    </format>
    <format dxfId="233">
      <pivotArea dataOnly="0" labelOnly="1" outline="0" fieldPosition="0">
        <references count="4">
          <reference field="2" count="1">
            <x v="0"/>
          </reference>
          <reference field="6" count="1" selected="0">
            <x v="82"/>
          </reference>
          <reference field="8" count="1" selected="0">
            <x v="82"/>
          </reference>
          <reference field="9" count="1" selected="0">
            <x v="38"/>
          </reference>
        </references>
      </pivotArea>
    </format>
    <format dxfId="232">
      <pivotArea dataOnly="0" labelOnly="1" outline="0" fieldPosition="0">
        <references count="4">
          <reference field="2" count="1">
            <x v="0"/>
          </reference>
          <reference field="6" count="1" selected="0">
            <x v="83"/>
          </reference>
          <reference field="8" count="1" selected="0">
            <x v="83"/>
          </reference>
          <reference field="9" count="1" selected="0">
            <x v="39"/>
          </reference>
        </references>
      </pivotArea>
    </format>
    <format dxfId="231">
      <pivotArea dataOnly="0" labelOnly="1" outline="0" fieldPosition="0">
        <references count="4">
          <reference field="2" count="1">
            <x v="0"/>
          </reference>
          <reference field="6" count="1" selected="0">
            <x v="84"/>
          </reference>
          <reference field="8" count="1" selected="0">
            <x v="84"/>
          </reference>
          <reference field="9" count="1" selected="0">
            <x v="40"/>
          </reference>
        </references>
      </pivotArea>
    </format>
    <format dxfId="230">
      <pivotArea dataOnly="0" labelOnly="1" outline="0" fieldPosition="0">
        <references count="4">
          <reference field="2" count="1">
            <x v="0"/>
          </reference>
          <reference field="6" count="1" selected="0">
            <x v="85"/>
          </reference>
          <reference field="8" count="1" selected="0">
            <x v="85"/>
          </reference>
          <reference field="9" count="1" selected="0">
            <x v="41"/>
          </reference>
        </references>
      </pivotArea>
    </format>
    <format dxfId="229">
      <pivotArea dataOnly="0" labelOnly="1" outline="0" fieldPosition="0">
        <references count="4">
          <reference field="2" count="1">
            <x v="0"/>
          </reference>
          <reference field="6" count="1" selected="0">
            <x v="86"/>
          </reference>
          <reference field="8" count="1" selected="0">
            <x v="86"/>
          </reference>
          <reference field="9" count="1" selected="0">
            <x v="42"/>
          </reference>
        </references>
      </pivotArea>
    </format>
    <format dxfId="228">
      <pivotArea dataOnly="0" labelOnly="1" outline="0" fieldPosition="0">
        <references count="4">
          <reference field="2" count="1">
            <x v="0"/>
          </reference>
          <reference field="6" count="1" selected="0">
            <x v="87"/>
          </reference>
          <reference field="8" count="1" selected="0">
            <x v="87"/>
          </reference>
          <reference field="9" count="1" selected="0">
            <x v="43"/>
          </reference>
        </references>
      </pivotArea>
    </format>
    <format dxfId="227">
      <pivotArea dataOnly="0" labelOnly="1" outline="0" fieldPosition="0">
        <references count="4">
          <reference field="2" count="1">
            <x v="0"/>
          </reference>
          <reference field="6" count="1" selected="0">
            <x v="88"/>
          </reference>
          <reference field="8" count="1" selected="0">
            <x v="88"/>
          </reference>
          <reference field="9" count="1" selected="0">
            <x v="44"/>
          </reference>
        </references>
      </pivotArea>
    </format>
    <format dxfId="226">
      <pivotArea dataOnly="0" labelOnly="1" outline="0" fieldPosition="0">
        <references count="4">
          <reference field="2" count="1">
            <x v="0"/>
          </reference>
          <reference field="6" count="1" selected="0">
            <x v="89"/>
          </reference>
          <reference field="8" count="1" selected="0">
            <x v="89"/>
          </reference>
          <reference field="9" count="1" selected="0">
            <x v="45"/>
          </reference>
        </references>
      </pivotArea>
    </format>
    <format dxfId="225">
      <pivotArea dataOnly="0" labelOnly="1" outline="0" fieldPosition="0">
        <references count="4">
          <reference field="2" count="1">
            <x v="0"/>
          </reference>
          <reference field="6" count="1" selected="0">
            <x v="90"/>
          </reference>
          <reference field="8" count="1" selected="0">
            <x v="90"/>
          </reference>
          <reference field="9" count="1" selected="0">
            <x v="46"/>
          </reference>
        </references>
      </pivotArea>
    </format>
    <format dxfId="224">
      <pivotArea dataOnly="0" labelOnly="1" outline="0" fieldPosition="0">
        <references count="4">
          <reference field="2" count="1">
            <x v="0"/>
          </reference>
          <reference field="6" count="1" selected="0">
            <x v="91"/>
          </reference>
          <reference field="8" count="1" selected="0">
            <x v="91"/>
          </reference>
          <reference field="9" count="1" selected="0">
            <x v="47"/>
          </reference>
        </references>
      </pivotArea>
    </format>
    <format dxfId="223">
      <pivotArea dataOnly="0" labelOnly="1" outline="0" fieldPosition="0">
        <references count="4">
          <reference field="2" count="1">
            <x v="0"/>
          </reference>
          <reference field="6" count="1" selected="0">
            <x v="92"/>
          </reference>
          <reference field="8" count="1" selected="0">
            <x v="92"/>
          </reference>
          <reference field="9" count="1" selected="0">
            <x v="47"/>
          </reference>
        </references>
      </pivotArea>
    </format>
    <format dxfId="222">
      <pivotArea dataOnly="0" labelOnly="1" outline="0" fieldPosition="0">
        <references count="4">
          <reference field="2" count="1">
            <x v="0"/>
          </reference>
          <reference field="6" count="1" selected="0">
            <x v="93"/>
          </reference>
          <reference field="8" count="1" selected="0">
            <x v="93"/>
          </reference>
          <reference field="9" count="1" selected="0">
            <x v="48"/>
          </reference>
        </references>
      </pivotArea>
    </format>
    <format dxfId="221">
      <pivotArea dataOnly="0" labelOnly="1" outline="0" fieldPosition="0">
        <references count="4">
          <reference field="2" count="1">
            <x v="1"/>
          </reference>
          <reference field="6" count="1" selected="0">
            <x v="94"/>
          </reference>
          <reference field="8" count="1" selected="0">
            <x v="94"/>
          </reference>
          <reference field="9" count="1" selected="0">
            <x v="49"/>
          </reference>
        </references>
      </pivotArea>
    </format>
    <format dxfId="220">
      <pivotArea dataOnly="0" labelOnly="1" outline="0" fieldPosition="0">
        <references count="4">
          <reference field="2" count="1">
            <x v="1"/>
          </reference>
          <reference field="6" count="1" selected="0">
            <x v="95"/>
          </reference>
          <reference field="8" count="1" selected="0">
            <x v="95"/>
          </reference>
          <reference field="9" count="1" selected="0">
            <x v="49"/>
          </reference>
        </references>
      </pivotArea>
    </format>
    <format dxfId="219">
      <pivotArea dataOnly="0" labelOnly="1" outline="0" fieldPosition="0">
        <references count="4">
          <reference field="2" count="1">
            <x v="1"/>
          </reference>
          <reference field="6" count="1" selected="0">
            <x v="96"/>
          </reference>
          <reference field="8" count="1" selected="0">
            <x v="96"/>
          </reference>
          <reference field="9" count="1" selected="0">
            <x v="50"/>
          </reference>
        </references>
      </pivotArea>
    </format>
    <format dxfId="218">
      <pivotArea dataOnly="0" labelOnly="1" outline="0" fieldPosition="0">
        <references count="4">
          <reference field="2" count="1">
            <x v="1"/>
          </reference>
          <reference field="6" count="1" selected="0">
            <x v="97"/>
          </reference>
          <reference field="8" count="1" selected="0">
            <x v="97"/>
          </reference>
          <reference field="9" count="1" selected="0">
            <x v="50"/>
          </reference>
        </references>
      </pivotArea>
    </format>
    <format dxfId="217">
      <pivotArea dataOnly="0" labelOnly="1" outline="0" fieldPosition="0">
        <references count="4">
          <reference field="2" count="1">
            <x v="0"/>
          </reference>
          <reference field="6" count="1" selected="0">
            <x v="98"/>
          </reference>
          <reference field="8" count="1" selected="0">
            <x v="98"/>
          </reference>
          <reference field="9" count="1" selected="0">
            <x v="51"/>
          </reference>
        </references>
      </pivotArea>
    </format>
    <format dxfId="216">
      <pivotArea dataOnly="0" labelOnly="1" outline="0" fieldPosition="0">
        <references count="4">
          <reference field="2" count="1">
            <x v="0"/>
          </reference>
          <reference field="6" count="1" selected="0">
            <x v="99"/>
          </reference>
          <reference field="8" count="1" selected="0">
            <x v="99"/>
          </reference>
          <reference field="9" count="1" selected="0">
            <x v="52"/>
          </reference>
        </references>
      </pivotArea>
    </format>
    <format dxfId="215">
      <pivotArea dataOnly="0" labelOnly="1" outline="0" fieldPosition="0">
        <references count="4">
          <reference field="2" count="1">
            <x v="0"/>
          </reference>
          <reference field="6" count="1" selected="0">
            <x v="100"/>
          </reference>
          <reference field="8" count="1" selected="0">
            <x v="100"/>
          </reference>
          <reference field="9" count="1" selected="0">
            <x v="52"/>
          </reference>
        </references>
      </pivotArea>
    </format>
    <format dxfId="214">
      <pivotArea dataOnly="0" labelOnly="1" outline="0" fieldPosition="0">
        <references count="4">
          <reference field="2" count="1">
            <x v="0"/>
          </reference>
          <reference field="6" count="1" selected="0">
            <x v="101"/>
          </reference>
          <reference field="8" count="1" selected="0">
            <x v="101"/>
          </reference>
          <reference field="9" count="1" selected="0">
            <x v="53"/>
          </reference>
        </references>
      </pivotArea>
    </format>
    <format dxfId="213">
      <pivotArea dataOnly="0" labelOnly="1" outline="0" fieldPosition="0">
        <references count="4">
          <reference field="2" count="1">
            <x v="0"/>
          </reference>
          <reference field="6" count="1" selected="0">
            <x v="102"/>
          </reference>
          <reference field="8" count="1" selected="0">
            <x v="102"/>
          </reference>
          <reference field="9" count="1" selected="0">
            <x v="53"/>
          </reference>
        </references>
      </pivotArea>
    </format>
    <format dxfId="212">
      <pivotArea dataOnly="0" labelOnly="1" outline="0" fieldPosition="0">
        <references count="4">
          <reference field="2" count="1">
            <x v="0"/>
          </reference>
          <reference field="6" count="1" selected="0">
            <x v="103"/>
          </reference>
          <reference field="8" count="1" selected="0">
            <x v="103"/>
          </reference>
          <reference field="9" count="1" selected="0">
            <x v="53"/>
          </reference>
        </references>
      </pivotArea>
    </format>
    <format dxfId="211">
      <pivotArea dataOnly="0" labelOnly="1" outline="0" fieldPosition="0">
        <references count="4">
          <reference field="2" count="1">
            <x v="0"/>
          </reference>
          <reference field="6" count="1" selected="0">
            <x v="104"/>
          </reference>
          <reference field="8" count="1" selected="0">
            <x v="104"/>
          </reference>
          <reference field="9" count="1" selected="0">
            <x v="53"/>
          </reference>
        </references>
      </pivotArea>
    </format>
    <format dxfId="210">
      <pivotArea dataOnly="0" labelOnly="1" outline="0" fieldPosition="0">
        <references count="4">
          <reference field="2" count="1">
            <x v="0"/>
          </reference>
          <reference field="6" count="1" selected="0">
            <x v="105"/>
          </reference>
          <reference field="8" count="1" selected="0">
            <x v="105"/>
          </reference>
          <reference field="9" count="1" selected="0">
            <x v="53"/>
          </reference>
        </references>
      </pivotArea>
    </format>
    <format dxfId="209">
      <pivotArea dataOnly="0" labelOnly="1" outline="0" fieldPosition="0">
        <references count="4">
          <reference field="2" count="1">
            <x v="0"/>
          </reference>
          <reference field="6" count="1" selected="0">
            <x v="106"/>
          </reference>
          <reference field="8" count="1" selected="0">
            <x v="106"/>
          </reference>
          <reference field="9" count="1" selected="0">
            <x v="53"/>
          </reference>
        </references>
      </pivotArea>
    </format>
    <format dxfId="208">
      <pivotArea dataOnly="0" labelOnly="1" outline="0" fieldPosition="0">
        <references count="4">
          <reference field="2" count="1">
            <x v="0"/>
          </reference>
          <reference field="6" count="1" selected="0">
            <x v="107"/>
          </reference>
          <reference field="8" count="1" selected="0">
            <x v="107"/>
          </reference>
          <reference field="9" count="1" selected="0">
            <x v="54"/>
          </reference>
        </references>
      </pivotArea>
    </format>
    <format dxfId="207">
      <pivotArea dataOnly="0" labelOnly="1" outline="0" fieldPosition="0">
        <references count="4">
          <reference field="2" count="1">
            <x v="0"/>
          </reference>
          <reference field="6" count="1" selected="0">
            <x v="108"/>
          </reference>
          <reference field="8" count="1" selected="0">
            <x v="108"/>
          </reference>
          <reference field="9" count="1" selected="0">
            <x v="54"/>
          </reference>
        </references>
      </pivotArea>
    </format>
    <format dxfId="206">
      <pivotArea dataOnly="0" labelOnly="1" outline="0" fieldPosition="0">
        <references count="4">
          <reference field="2" count="1">
            <x v="0"/>
          </reference>
          <reference field="6" count="1" selected="0">
            <x v="109"/>
          </reference>
          <reference field="8" count="1" selected="0">
            <x v="109"/>
          </reference>
          <reference field="9" count="1" selected="0">
            <x v="54"/>
          </reference>
        </references>
      </pivotArea>
    </format>
    <format dxfId="205">
      <pivotArea dataOnly="0" labelOnly="1" outline="0" fieldPosition="0">
        <references count="4">
          <reference field="2" count="1">
            <x v="0"/>
          </reference>
          <reference field="6" count="1" selected="0">
            <x v="110"/>
          </reference>
          <reference field="8" count="1" selected="0">
            <x v="110"/>
          </reference>
          <reference field="9" count="1" selected="0">
            <x v="54"/>
          </reference>
        </references>
      </pivotArea>
    </format>
    <format dxfId="204">
      <pivotArea dataOnly="0" labelOnly="1" outline="0" fieldPosition="0">
        <references count="4">
          <reference field="2" count="1">
            <x v="0"/>
          </reference>
          <reference field="6" count="1" selected="0">
            <x v="111"/>
          </reference>
          <reference field="8" count="1" selected="0">
            <x v="111"/>
          </reference>
          <reference field="9" count="1" selected="0">
            <x v="55"/>
          </reference>
        </references>
      </pivotArea>
    </format>
    <format dxfId="203">
      <pivotArea dataOnly="0" labelOnly="1" outline="0" fieldPosition="0">
        <references count="4">
          <reference field="2" count="1">
            <x v="0"/>
          </reference>
          <reference field="6" count="1" selected="0">
            <x v="112"/>
          </reference>
          <reference field="8" count="1" selected="0">
            <x v="112"/>
          </reference>
          <reference field="9" count="1" selected="0">
            <x v="55"/>
          </reference>
        </references>
      </pivotArea>
    </format>
    <format dxfId="202">
      <pivotArea dataOnly="0" labelOnly="1" outline="0" fieldPosition="0">
        <references count="4">
          <reference field="2" count="1">
            <x v="0"/>
          </reference>
          <reference field="6" count="1" selected="0">
            <x v="113"/>
          </reference>
          <reference field="8" count="1" selected="0">
            <x v="113"/>
          </reference>
          <reference field="9" count="1" selected="0">
            <x v="55"/>
          </reference>
        </references>
      </pivotArea>
    </format>
    <format dxfId="201">
      <pivotArea dataOnly="0" labelOnly="1" outline="0" fieldPosition="0">
        <references count="4">
          <reference field="2" count="1">
            <x v="0"/>
          </reference>
          <reference field="6" count="1" selected="0">
            <x v="114"/>
          </reference>
          <reference field="8" count="1" selected="0">
            <x v="114"/>
          </reference>
          <reference field="9" count="1" selected="0">
            <x v="55"/>
          </reference>
        </references>
      </pivotArea>
    </format>
    <format dxfId="200">
      <pivotArea dataOnly="0" labelOnly="1" outline="0" fieldPosition="0">
        <references count="4">
          <reference field="2" count="1">
            <x v="0"/>
          </reference>
          <reference field="6" count="1" selected="0">
            <x v="115"/>
          </reference>
          <reference field="8" count="1" selected="0">
            <x v="115"/>
          </reference>
          <reference field="9" count="1" selected="0">
            <x v="56"/>
          </reference>
        </references>
      </pivotArea>
    </format>
    <format dxfId="199">
      <pivotArea dataOnly="0" labelOnly="1" outline="0" fieldPosition="0">
        <references count="4">
          <reference field="2" count="1">
            <x v="0"/>
          </reference>
          <reference field="6" count="1" selected="0">
            <x v="116"/>
          </reference>
          <reference field="8" count="1" selected="0">
            <x v="116"/>
          </reference>
          <reference field="9" count="1" selected="0">
            <x v="56"/>
          </reference>
        </references>
      </pivotArea>
    </format>
    <format dxfId="198">
      <pivotArea dataOnly="0" labelOnly="1" outline="0" fieldPosition="0">
        <references count="4">
          <reference field="2" count="1">
            <x v="0"/>
          </reference>
          <reference field="6" count="1" selected="0">
            <x v="117"/>
          </reference>
          <reference field="8" count="1" selected="0">
            <x v="117"/>
          </reference>
          <reference field="9" count="1" selected="0">
            <x v="57"/>
          </reference>
        </references>
      </pivotArea>
    </format>
    <format dxfId="197">
      <pivotArea dataOnly="0" labelOnly="1" outline="0" fieldPosition="0">
        <references count="4">
          <reference field="2" count="1">
            <x v="0"/>
          </reference>
          <reference field="6" count="1" selected="0">
            <x v="118"/>
          </reference>
          <reference field="8" count="1" selected="0">
            <x v="118"/>
          </reference>
          <reference field="9" count="1" selected="0">
            <x v="57"/>
          </reference>
        </references>
      </pivotArea>
    </format>
    <format dxfId="196">
      <pivotArea dataOnly="0" labelOnly="1" outline="0" fieldPosition="0">
        <references count="4">
          <reference field="2" count="1">
            <x v="0"/>
          </reference>
          <reference field="6" count="1" selected="0">
            <x v="119"/>
          </reference>
          <reference field="8" count="1" selected="0">
            <x v="119"/>
          </reference>
          <reference field="9" count="1" selected="0">
            <x v="58"/>
          </reference>
        </references>
      </pivotArea>
    </format>
    <format dxfId="195">
      <pivotArea dataOnly="0" labelOnly="1" outline="0" fieldPosition="0">
        <references count="4">
          <reference field="2" count="1">
            <x v="0"/>
          </reference>
          <reference field="6" count="1" selected="0">
            <x v="120"/>
          </reference>
          <reference field="8" count="1" selected="0">
            <x v="120"/>
          </reference>
          <reference field="9" count="1" selected="0">
            <x v="58"/>
          </reference>
        </references>
      </pivotArea>
    </format>
    <format dxfId="194">
      <pivotArea dataOnly="0" labelOnly="1" outline="0" fieldPosition="0">
        <references count="4">
          <reference field="2" count="1">
            <x v="0"/>
          </reference>
          <reference field="6" count="1" selected="0">
            <x v="121"/>
          </reference>
          <reference field="8" count="1" selected="0">
            <x v="121"/>
          </reference>
          <reference field="9" count="1" selected="0">
            <x v="59"/>
          </reference>
        </references>
      </pivotArea>
    </format>
    <format dxfId="193">
      <pivotArea dataOnly="0" labelOnly="1" outline="0" fieldPosition="0">
        <references count="4">
          <reference field="2" count="1">
            <x v="0"/>
          </reference>
          <reference field="6" count="1" selected="0">
            <x v="122"/>
          </reference>
          <reference field="8" count="1" selected="0">
            <x v="122"/>
          </reference>
          <reference field="9" count="1" selected="0">
            <x v="59"/>
          </reference>
        </references>
      </pivotArea>
    </format>
    <format dxfId="192">
      <pivotArea dataOnly="0" labelOnly="1" outline="0" fieldPosition="0">
        <references count="4">
          <reference field="2" count="1">
            <x v="0"/>
          </reference>
          <reference field="6" count="1" selected="0">
            <x v="123"/>
          </reference>
          <reference field="8" count="1" selected="0">
            <x v="123"/>
          </reference>
          <reference field="9" count="1" selected="0">
            <x v="59"/>
          </reference>
        </references>
      </pivotArea>
    </format>
    <format dxfId="191">
      <pivotArea dataOnly="0" labelOnly="1" outline="0" fieldPosition="0">
        <references count="4">
          <reference field="2" count="1">
            <x v="0"/>
          </reference>
          <reference field="6" count="1" selected="0">
            <x v="124"/>
          </reference>
          <reference field="8" count="1" selected="0">
            <x v="124"/>
          </reference>
          <reference field="9" count="1" selected="0">
            <x v="60"/>
          </reference>
        </references>
      </pivotArea>
    </format>
    <format dxfId="190">
      <pivotArea dataOnly="0" labelOnly="1" outline="0" fieldPosition="0">
        <references count="4">
          <reference field="2" count="1">
            <x v="0"/>
          </reference>
          <reference field="6" count="1" selected="0">
            <x v="125"/>
          </reference>
          <reference field="8" count="1" selected="0">
            <x v="125"/>
          </reference>
          <reference field="9" count="1" selected="0">
            <x v="61"/>
          </reference>
        </references>
      </pivotArea>
    </format>
    <format dxfId="189">
      <pivotArea dataOnly="0" labelOnly="1" outline="0" fieldPosition="0">
        <references count="4">
          <reference field="2" count="1">
            <x v="0"/>
          </reference>
          <reference field="6" count="1" selected="0">
            <x v="126"/>
          </reference>
          <reference field="8" count="1" selected="0">
            <x v="126"/>
          </reference>
          <reference field="9" count="1" selected="0">
            <x v="62"/>
          </reference>
        </references>
      </pivotArea>
    </format>
    <format dxfId="188">
      <pivotArea dataOnly="0" labelOnly="1" outline="0" fieldPosition="0">
        <references count="4">
          <reference field="2" count="1">
            <x v="0"/>
          </reference>
          <reference field="6" count="1" selected="0">
            <x v="127"/>
          </reference>
          <reference field="8" count="1" selected="0">
            <x v="127"/>
          </reference>
          <reference field="9" count="1" selected="0">
            <x v="63"/>
          </reference>
        </references>
      </pivotArea>
    </format>
    <format dxfId="187">
      <pivotArea dataOnly="0" labelOnly="1" outline="0" fieldPosition="0">
        <references count="4">
          <reference field="2" count="1">
            <x v="0"/>
          </reference>
          <reference field="6" count="1" selected="0">
            <x v="128"/>
          </reference>
          <reference field="8" count="1" selected="0">
            <x v="128"/>
          </reference>
          <reference field="9" count="1" selected="0">
            <x v="64"/>
          </reference>
        </references>
      </pivotArea>
    </format>
    <format dxfId="186">
      <pivotArea dataOnly="0" labelOnly="1" outline="0" fieldPosition="0">
        <references count="4">
          <reference field="2" count="1">
            <x v="0"/>
          </reference>
          <reference field="6" count="1" selected="0">
            <x v="129"/>
          </reference>
          <reference field="8" count="1" selected="0">
            <x v="129"/>
          </reference>
          <reference field="9" count="1" selected="0">
            <x v="65"/>
          </reference>
        </references>
      </pivotArea>
    </format>
    <format dxfId="185">
      <pivotArea dataOnly="0" labelOnly="1" outline="0" fieldPosition="0">
        <references count="4">
          <reference field="2" count="1">
            <x v="0"/>
          </reference>
          <reference field="6" count="1" selected="0">
            <x v="130"/>
          </reference>
          <reference field="8" count="1" selected="0">
            <x v="130"/>
          </reference>
          <reference field="9" count="1" selected="0">
            <x v="66"/>
          </reference>
        </references>
      </pivotArea>
    </format>
    <format dxfId="184">
      <pivotArea dataOnly="0" labelOnly="1" outline="0" fieldPosition="0">
        <references count="4">
          <reference field="2" count="1">
            <x v="0"/>
          </reference>
          <reference field="6" count="1" selected="0">
            <x v="131"/>
          </reference>
          <reference field="8" count="1" selected="0">
            <x v="131"/>
          </reference>
          <reference field="9" count="1" selected="0">
            <x v="67"/>
          </reference>
        </references>
      </pivotArea>
    </format>
    <format dxfId="183">
      <pivotArea dataOnly="0" labelOnly="1" outline="0" fieldPosition="0">
        <references count="4">
          <reference field="2" count="1">
            <x v="0"/>
          </reference>
          <reference field="6" count="1" selected="0">
            <x v="132"/>
          </reference>
          <reference field="8" count="1" selected="0">
            <x v="132"/>
          </reference>
          <reference field="9" count="1" selected="0">
            <x v="67"/>
          </reference>
        </references>
      </pivotArea>
    </format>
    <format dxfId="182">
      <pivotArea dataOnly="0" labelOnly="1" outline="0" fieldPosition="0">
        <references count="4">
          <reference field="2" count="1">
            <x v="0"/>
          </reference>
          <reference field="6" count="1" selected="0">
            <x v="133"/>
          </reference>
          <reference field="8" count="1" selected="0">
            <x v="133"/>
          </reference>
          <reference field="9" count="1" selected="0">
            <x v="67"/>
          </reference>
        </references>
      </pivotArea>
    </format>
    <format dxfId="181">
      <pivotArea dataOnly="0" labelOnly="1" outline="0" fieldPosition="0">
        <references count="4">
          <reference field="2" count="1">
            <x v="0"/>
          </reference>
          <reference field="6" count="1" selected="0">
            <x v="134"/>
          </reference>
          <reference field="8" count="1" selected="0">
            <x v="134"/>
          </reference>
          <reference field="9" count="1" selected="0">
            <x v="67"/>
          </reference>
        </references>
      </pivotArea>
    </format>
    <format dxfId="180">
      <pivotArea dataOnly="0" labelOnly="1" outline="0" fieldPosition="0">
        <references count="4">
          <reference field="2" count="1">
            <x v="0"/>
          </reference>
          <reference field="6" count="1" selected="0">
            <x v="135"/>
          </reference>
          <reference field="8" count="1" selected="0">
            <x v="135"/>
          </reference>
          <reference field="9" count="1" selected="0">
            <x v="67"/>
          </reference>
        </references>
      </pivotArea>
    </format>
    <format dxfId="179">
      <pivotArea dataOnly="0" labelOnly="1" outline="0" fieldPosition="0">
        <references count="4">
          <reference field="2" count="1">
            <x v="0"/>
          </reference>
          <reference field="6" count="1" selected="0">
            <x v="136"/>
          </reference>
          <reference field="8" count="1" selected="0">
            <x v="136"/>
          </reference>
          <reference field="9" count="1" selected="0">
            <x v="67"/>
          </reference>
        </references>
      </pivotArea>
    </format>
    <format dxfId="178">
      <pivotArea dataOnly="0" labelOnly="1" outline="0" fieldPosition="0">
        <references count="4">
          <reference field="2" count="1">
            <x v="0"/>
          </reference>
          <reference field="6" count="1" selected="0">
            <x v="137"/>
          </reference>
          <reference field="8" count="1" selected="0">
            <x v="137"/>
          </reference>
          <reference field="9" count="1" selected="0">
            <x v="67"/>
          </reference>
        </references>
      </pivotArea>
    </format>
    <format dxfId="177">
      <pivotArea dataOnly="0" labelOnly="1" outline="0" fieldPosition="0">
        <references count="4">
          <reference field="2" count="1">
            <x v="0"/>
          </reference>
          <reference field="6" count="1" selected="0">
            <x v="138"/>
          </reference>
          <reference field="8" count="1" selected="0">
            <x v="138"/>
          </reference>
          <reference field="9" count="1" selected="0">
            <x v="68"/>
          </reference>
        </references>
      </pivotArea>
    </format>
    <format dxfId="176">
      <pivotArea dataOnly="0" labelOnly="1" outline="0" fieldPosition="0">
        <references count="4">
          <reference field="2" count="1">
            <x v="0"/>
          </reference>
          <reference field="6" count="1" selected="0">
            <x v="139"/>
          </reference>
          <reference field="8" count="1" selected="0">
            <x v="139"/>
          </reference>
          <reference field="9" count="1" selected="0">
            <x v="69"/>
          </reference>
        </references>
      </pivotArea>
    </format>
    <format dxfId="175">
      <pivotArea dataOnly="0" labelOnly="1" outline="0" fieldPosition="0">
        <references count="4">
          <reference field="2" count="1">
            <x v="0"/>
          </reference>
          <reference field="6" count="1" selected="0">
            <x v="140"/>
          </reference>
          <reference field="8" count="1" selected="0">
            <x v="140"/>
          </reference>
          <reference field="9" count="1" selected="0">
            <x v="70"/>
          </reference>
        </references>
      </pivotArea>
    </format>
    <format dxfId="174">
      <pivotArea dataOnly="0" labelOnly="1" outline="0" fieldPosition="0">
        <references count="4">
          <reference field="2" count="1">
            <x v="0"/>
          </reference>
          <reference field="6" count="1" selected="0">
            <x v="141"/>
          </reference>
          <reference field="8" count="1" selected="0">
            <x v="141"/>
          </reference>
          <reference field="9" count="1" selected="0">
            <x v="70"/>
          </reference>
        </references>
      </pivotArea>
    </format>
    <format dxfId="173">
      <pivotArea dataOnly="0" labelOnly="1" outline="0" fieldPosition="0">
        <references count="4">
          <reference field="2" count="1">
            <x v="0"/>
          </reference>
          <reference field="6" count="1" selected="0">
            <x v="142"/>
          </reference>
          <reference field="8" count="1" selected="0">
            <x v="142"/>
          </reference>
          <reference field="9" count="1" selected="0">
            <x v="71"/>
          </reference>
        </references>
      </pivotArea>
    </format>
    <format dxfId="172">
      <pivotArea dataOnly="0" labelOnly="1" outline="0" fieldPosition="0">
        <references count="4">
          <reference field="2" count="1">
            <x v="0"/>
          </reference>
          <reference field="6" count="1" selected="0">
            <x v="143"/>
          </reference>
          <reference field="8" count="1" selected="0">
            <x v="143"/>
          </reference>
          <reference field="9" count="1" selected="0">
            <x v="72"/>
          </reference>
        </references>
      </pivotArea>
    </format>
    <format dxfId="171">
      <pivotArea dataOnly="0" labelOnly="1" outline="0" fieldPosition="0">
        <references count="4">
          <reference field="2" count="1">
            <x v="0"/>
          </reference>
          <reference field="6" count="1" selected="0">
            <x v="144"/>
          </reference>
          <reference field="8" count="1" selected="0">
            <x v="144"/>
          </reference>
          <reference field="9" count="1" selected="0">
            <x v="73"/>
          </reference>
        </references>
      </pivotArea>
    </format>
    <format dxfId="170">
      <pivotArea dataOnly="0" labelOnly="1" outline="0" fieldPosition="0">
        <references count="4">
          <reference field="2" count="1">
            <x v="0"/>
          </reference>
          <reference field="6" count="1" selected="0">
            <x v="145"/>
          </reference>
          <reference field="8" count="1" selected="0">
            <x v="145"/>
          </reference>
          <reference field="9" count="1" selected="0">
            <x v="73"/>
          </reference>
        </references>
      </pivotArea>
    </format>
    <format dxfId="169">
      <pivotArea dataOnly="0" labelOnly="1" outline="0" fieldPosition="0">
        <references count="4">
          <reference field="2" count="1">
            <x v="0"/>
          </reference>
          <reference field="6" count="1" selected="0">
            <x v="146"/>
          </reference>
          <reference field="8" count="1" selected="0">
            <x v="146"/>
          </reference>
          <reference field="9" count="1" selected="0">
            <x v="73"/>
          </reference>
        </references>
      </pivotArea>
    </format>
    <format dxfId="168">
      <pivotArea dataOnly="0" labelOnly="1" outline="0" fieldPosition="0">
        <references count="4">
          <reference field="2" count="1">
            <x v="0"/>
          </reference>
          <reference field="6" count="1" selected="0">
            <x v="147"/>
          </reference>
          <reference field="8" count="1" selected="0">
            <x v="147"/>
          </reference>
          <reference field="9" count="1" selected="0">
            <x v="73"/>
          </reference>
        </references>
      </pivotArea>
    </format>
    <format dxfId="167">
      <pivotArea dataOnly="0" labelOnly="1" outline="0" fieldPosition="0">
        <references count="4">
          <reference field="2" count="1">
            <x v="0"/>
          </reference>
          <reference field="6" count="1" selected="0">
            <x v="148"/>
          </reference>
          <reference field="8" count="1" selected="0">
            <x v="148"/>
          </reference>
          <reference field="9" count="1" selected="0">
            <x v="73"/>
          </reference>
        </references>
      </pivotArea>
    </format>
    <format dxfId="166">
      <pivotArea dataOnly="0" labelOnly="1" outline="0" fieldPosition="0">
        <references count="4">
          <reference field="2" count="1">
            <x v="0"/>
          </reference>
          <reference field="6" count="1" selected="0">
            <x v="149"/>
          </reference>
          <reference field="8" count="1" selected="0">
            <x v="149"/>
          </reference>
          <reference field="9" count="1" selected="0">
            <x v="74"/>
          </reference>
        </references>
      </pivotArea>
    </format>
    <format dxfId="165">
      <pivotArea dataOnly="0" labelOnly="1" outline="0" fieldPosition="0">
        <references count="4">
          <reference field="2" count="1">
            <x v="0"/>
          </reference>
          <reference field="6" count="1" selected="0">
            <x v="150"/>
          </reference>
          <reference field="8" count="1" selected="0">
            <x v="150"/>
          </reference>
          <reference field="9" count="1" selected="0">
            <x v="74"/>
          </reference>
        </references>
      </pivotArea>
    </format>
    <format dxfId="164">
      <pivotArea dataOnly="0" labelOnly="1" outline="0" fieldPosition="0">
        <references count="4">
          <reference field="2" count="1">
            <x v="0"/>
          </reference>
          <reference field="6" count="1" selected="0">
            <x v="151"/>
          </reference>
          <reference field="8" count="1" selected="0">
            <x v="151"/>
          </reference>
          <reference field="9" count="1" selected="0">
            <x v="75"/>
          </reference>
        </references>
      </pivotArea>
    </format>
    <format dxfId="163">
      <pivotArea dataOnly="0" labelOnly="1" outline="0" fieldPosition="0">
        <references count="4">
          <reference field="2" count="1">
            <x v="0"/>
          </reference>
          <reference field="6" count="1" selected="0">
            <x v="152"/>
          </reference>
          <reference field="8" count="1" selected="0">
            <x v="152"/>
          </reference>
          <reference field="9" count="1" selected="0">
            <x v="76"/>
          </reference>
        </references>
      </pivotArea>
    </format>
    <format dxfId="162">
      <pivotArea dataOnly="0" labelOnly="1" outline="0" fieldPosition="0">
        <references count="4">
          <reference field="2" count="1">
            <x v="0"/>
          </reference>
          <reference field="6" count="1" selected="0">
            <x v="153"/>
          </reference>
          <reference field="8" count="1" selected="0">
            <x v="153"/>
          </reference>
          <reference field="9" count="1" selected="0">
            <x v="77"/>
          </reference>
        </references>
      </pivotArea>
    </format>
    <format dxfId="161">
      <pivotArea dataOnly="0" labelOnly="1" outline="0" fieldPosition="0">
        <references count="4">
          <reference field="2" count="1">
            <x v="0"/>
          </reference>
          <reference field="6" count="1" selected="0">
            <x v="154"/>
          </reference>
          <reference field="8" count="1" selected="0">
            <x v="154"/>
          </reference>
          <reference field="9" count="1" selected="0">
            <x v="77"/>
          </reference>
        </references>
      </pivotArea>
    </format>
    <format dxfId="160">
      <pivotArea dataOnly="0" labelOnly="1" outline="0" fieldPosition="0">
        <references count="4">
          <reference field="2" count="1">
            <x v="0"/>
          </reference>
          <reference field="6" count="1" selected="0">
            <x v="155"/>
          </reference>
          <reference field="8" count="1" selected="0">
            <x v="155"/>
          </reference>
          <reference field="9" count="1" selected="0">
            <x v="78"/>
          </reference>
        </references>
      </pivotArea>
    </format>
    <format dxfId="159">
      <pivotArea dataOnly="0" labelOnly="1" outline="0" fieldPosition="0">
        <references count="4">
          <reference field="2" count="1">
            <x v="0"/>
          </reference>
          <reference field="6" count="1" selected="0">
            <x v="156"/>
          </reference>
          <reference field="8" count="1" selected="0">
            <x v="156"/>
          </reference>
          <reference field="9" count="1" selected="0">
            <x v="78"/>
          </reference>
        </references>
      </pivotArea>
    </format>
    <format dxfId="158">
      <pivotArea dataOnly="0" labelOnly="1" outline="0" fieldPosition="0">
        <references count="4">
          <reference field="2" count="1">
            <x v="0"/>
          </reference>
          <reference field="6" count="1" selected="0">
            <x v="157"/>
          </reference>
          <reference field="8" count="1" selected="0">
            <x v="157"/>
          </reference>
          <reference field="9" count="1" selected="0">
            <x v="79"/>
          </reference>
        </references>
      </pivotArea>
    </format>
    <format dxfId="157">
      <pivotArea dataOnly="0" labelOnly="1" outline="0" fieldPosition="0">
        <references count="4">
          <reference field="2" count="1">
            <x v="0"/>
          </reference>
          <reference field="6" count="1" selected="0">
            <x v="158"/>
          </reference>
          <reference field="8" count="1" selected="0">
            <x v="158"/>
          </reference>
          <reference field="9" count="1" selected="0">
            <x v="79"/>
          </reference>
        </references>
      </pivotArea>
    </format>
    <format dxfId="156">
      <pivotArea dataOnly="0" labelOnly="1" outline="0" fieldPosition="0">
        <references count="4">
          <reference field="2" count="1">
            <x v="0"/>
          </reference>
          <reference field="6" count="1" selected="0">
            <x v="159"/>
          </reference>
          <reference field="8" count="1" selected="0">
            <x v="159"/>
          </reference>
          <reference field="9" count="1" selected="0">
            <x v="79"/>
          </reference>
        </references>
      </pivotArea>
    </format>
    <format dxfId="155">
      <pivotArea dataOnly="0" labelOnly="1" outline="0" fieldPosition="0">
        <references count="4">
          <reference field="2" count="1">
            <x v="1"/>
          </reference>
          <reference field="6" count="1" selected="0">
            <x v="160"/>
          </reference>
          <reference field="8" count="1" selected="0">
            <x v="160"/>
          </reference>
          <reference field="9" count="1" selected="0">
            <x v="80"/>
          </reference>
        </references>
      </pivotArea>
    </format>
    <format dxfId="154">
      <pivotArea dataOnly="0" labelOnly="1" outline="0" fieldPosition="0">
        <references count="4">
          <reference field="2" count="1">
            <x v="1"/>
          </reference>
          <reference field="6" count="1" selected="0">
            <x v="161"/>
          </reference>
          <reference field="8" count="1" selected="0">
            <x v="161"/>
          </reference>
          <reference field="9" count="1" selected="0">
            <x v="80"/>
          </reference>
        </references>
      </pivotArea>
    </format>
    <format dxfId="153">
      <pivotArea dataOnly="0" labelOnly="1" outline="0" fieldPosition="0">
        <references count="4">
          <reference field="2" count="1">
            <x v="0"/>
          </reference>
          <reference field="6" count="1" selected="0">
            <x v="162"/>
          </reference>
          <reference field="8" count="1" selected="0">
            <x v="162"/>
          </reference>
          <reference field="9" count="1" selected="0">
            <x v="81"/>
          </reference>
        </references>
      </pivotArea>
    </format>
    <format dxfId="152">
      <pivotArea dataOnly="0" labelOnly="1" outline="0" fieldPosition="0">
        <references count="4">
          <reference field="2" count="1">
            <x v="0"/>
          </reference>
          <reference field="6" count="1" selected="0">
            <x v="163"/>
          </reference>
          <reference field="8" count="1" selected="0">
            <x v="163"/>
          </reference>
          <reference field="9" count="1" selected="0">
            <x v="81"/>
          </reference>
        </references>
      </pivotArea>
    </format>
    <format dxfId="151">
      <pivotArea dataOnly="0" labelOnly="1" outline="0" fieldPosition="0">
        <references count="4">
          <reference field="2" count="1">
            <x v="0"/>
          </reference>
          <reference field="6" count="1" selected="0">
            <x v="164"/>
          </reference>
          <reference field="8" count="1" selected="0">
            <x v="164"/>
          </reference>
          <reference field="9" count="1" selected="0">
            <x v="82"/>
          </reference>
        </references>
      </pivotArea>
    </format>
    <format dxfId="150">
      <pivotArea dataOnly="0" labelOnly="1" outline="0" fieldPosition="0">
        <references count="4">
          <reference field="2" count="1">
            <x v="0"/>
          </reference>
          <reference field="6" count="1" selected="0">
            <x v="165"/>
          </reference>
          <reference field="8" count="1" selected="0">
            <x v="165"/>
          </reference>
          <reference field="9" count="1" selected="0">
            <x v="82"/>
          </reference>
        </references>
      </pivotArea>
    </format>
    <format dxfId="149">
      <pivotArea dataOnly="0" labelOnly="1" outline="0" fieldPosition="0">
        <references count="4">
          <reference field="2" count="1">
            <x v="0"/>
          </reference>
          <reference field="6" count="1" selected="0">
            <x v="166"/>
          </reference>
          <reference field="8" count="1" selected="0">
            <x v="166"/>
          </reference>
          <reference field="9" count="1" selected="0">
            <x v="82"/>
          </reference>
        </references>
      </pivotArea>
    </format>
    <format dxfId="148">
      <pivotArea dataOnly="0" labelOnly="1" outline="0" fieldPosition="0">
        <references count="4">
          <reference field="2" count="1">
            <x v="0"/>
          </reference>
          <reference field="6" count="1" selected="0">
            <x v="167"/>
          </reference>
          <reference field="8" count="1" selected="0">
            <x v="167"/>
          </reference>
          <reference field="9" count="1" selected="0">
            <x v="82"/>
          </reference>
        </references>
      </pivotArea>
    </format>
    <format dxfId="147">
      <pivotArea dataOnly="0" labelOnly="1" outline="0" fieldPosition="0">
        <references count="4">
          <reference field="2" count="1">
            <x v="0"/>
          </reference>
          <reference field="6" count="1" selected="0">
            <x v="168"/>
          </reference>
          <reference field="8" count="1" selected="0">
            <x v="168"/>
          </reference>
          <reference field="9" count="1" selected="0">
            <x v="83"/>
          </reference>
        </references>
      </pivotArea>
    </format>
    <format dxfId="146">
      <pivotArea dataOnly="0" labelOnly="1" outline="0" fieldPosition="0">
        <references count="4">
          <reference field="2" count="1">
            <x v="0"/>
          </reference>
          <reference field="6" count="1" selected="0">
            <x v="169"/>
          </reference>
          <reference field="8" count="1" selected="0">
            <x v="169"/>
          </reference>
          <reference field="9" count="1" selected="0">
            <x v="84"/>
          </reference>
        </references>
      </pivotArea>
    </format>
    <format dxfId="145">
      <pivotArea dataOnly="0" labelOnly="1" outline="0" fieldPosition="0">
        <references count="4">
          <reference field="2" count="1">
            <x v="0"/>
          </reference>
          <reference field="6" count="1" selected="0">
            <x v="170"/>
          </reference>
          <reference field="8" count="1" selected="0">
            <x v="170"/>
          </reference>
          <reference field="9" count="1" selected="0">
            <x v="84"/>
          </reference>
        </references>
      </pivotArea>
    </format>
    <format dxfId="144">
      <pivotArea dataOnly="0" labelOnly="1" outline="0" fieldPosition="0">
        <references count="4">
          <reference field="2" count="1">
            <x v="0"/>
          </reference>
          <reference field="6" count="1" selected="0">
            <x v="171"/>
          </reference>
          <reference field="8" count="1" selected="0">
            <x v="171"/>
          </reference>
          <reference field="9" count="1" selected="0">
            <x v="84"/>
          </reference>
        </references>
      </pivotArea>
    </format>
    <format dxfId="143">
      <pivotArea dataOnly="0" labelOnly="1" outline="0" fieldPosition="0">
        <references count="4">
          <reference field="2" count="1">
            <x v="0"/>
          </reference>
          <reference field="6" count="1" selected="0">
            <x v="172"/>
          </reference>
          <reference field="8" count="1" selected="0">
            <x v="172"/>
          </reference>
          <reference field="9" count="1" selected="0">
            <x v="85"/>
          </reference>
        </references>
      </pivotArea>
    </format>
    <format dxfId="142">
      <pivotArea dataOnly="0" labelOnly="1" outline="0" fieldPosition="0">
        <references count="4">
          <reference field="2" count="1">
            <x v="0"/>
          </reference>
          <reference field="6" count="1" selected="0">
            <x v="173"/>
          </reference>
          <reference field="8" count="1" selected="0">
            <x v="173"/>
          </reference>
          <reference field="9" count="1" selected="0">
            <x v="85"/>
          </reference>
        </references>
      </pivotArea>
    </format>
    <format dxfId="141">
      <pivotArea dataOnly="0" labelOnly="1" outline="0" fieldPosition="0">
        <references count="4">
          <reference field="2" count="1">
            <x v="0"/>
          </reference>
          <reference field="6" count="1" selected="0">
            <x v="174"/>
          </reference>
          <reference field="8" count="1" selected="0">
            <x v="174"/>
          </reference>
          <reference field="9" count="1" selected="0">
            <x v="86"/>
          </reference>
        </references>
      </pivotArea>
    </format>
    <format dxfId="140">
      <pivotArea dataOnly="0" labelOnly="1" outline="0" fieldPosition="0">
        <references count="4">
          <reference field="2" count="1">
            <x v="0"/>
          </reference>
          <reference field="6" count="1" selected="0">
            <x v="175"/>
          </reference>
          <reference field="8" count="1" selected="0">
            <x v="175"/>
          </reference>
          <reference field="9" count="1" selected="0">
            <x v="87"/>
          </reference>
        </references>
      </pivotArea>
    </format>
    <format dxfId="139">
      <pivotArea dataOnly="0" labelOnly="1" outline="0" fieldPosition="0">
        <references count="4">
          <reference field="2" count="1">
            <x v="0"/>
          </reference>
          <reference field="6" count="1" selected="0">
            <x v="176"/>
          </reference>
          <reference field="8" count="1" selected="0">
            <x v="176"/>
          </reference>
          <reference field="9" count="1" selected="0">
            <x v="88"/>
          </reference>
        </references>
      </pivotArea>
    </format>
    <format dxfId="138">
      <pivotArea dataOnly="0" labelOnly="1" outline="0" fieldPosition="0">
        <references count="4">
          <reference field="2" count="1">
            <x v="0"/>
          </reference>
          <reference field="6" count="1" selected="0">
            <x v="177"/>
          </reference>
          <reference field="8" count="1" selected="0">
            <x v="177"/>
          </reference>
          <reference field="9" count="1" selected="0">
            <x v="88"/>
          </reference>
        </references>
      </pivotArea>
    </format>
    <format dxfId="137">
      <pivotArea dataOnly="0" labelOnly="1" outline="0" fieldPosition="0">
        <references count="4">
          <reference field="2" count="1">
            <x v="0"/>
          </reference>
          <reference field="6" count="1" selected="0">
            <x v="178"/>
          </reference>
          <reference field="8" count="1" selected="0">
            <x v="178"/>
          </reference>
          <reference field="9" count="1" selected="0">
            <x v="88"/>
          </reference>
        </references>
      </pivotArea>
    </format>
    <format dxfId="136">
      <pivotArea dataOnly="0" labelOnly="1" outline="0" fieldPosition="0">
        <references count="4">
          <reference field="2" count="1">
            <x v="0"/>
          </reference>
          <reference field="6" count="1" selected="0">
            <x v="179"/>
          </reference>
          <reference field="8" count="1" selected="0">
            <x v="179"/>
          </reference>
          <reference field="9" count="1" selected="0">
            <x v="88"/>
          </reference>
        </references>
      </pivotArea>
    </format>
    <format dxfId="135">
      <pivotArea dataOnly="0" labelOnly="1" outline="0" fieldPosition="0">
        <references count="4">
          <reference field="2" count="1">
            <x v="0"/>
          </reference>
          <reference field="6" count="1" selected="0">
            <x v="180"/>
          </reference>
          <reference field="8" count="1" selected="0">
            <x v="180"/>
          </reference>
          <reference field="9" count="1" selected="0">
            <x v="89"/>
          </reference>
        </references>
      </pivotArea>
    </format>
    <format dxfId="134">
      <pivotArea dataOnly="0" labelOnly="1" outline="0" fieldPosition="0">
        <references count="4">
          <reference field="2" count="1">
            <x v="0"/>
          </reference>
          <reference field="6" count="1" selected="0">
            <x v="181"/>
          </reference>
          <reference field="8" count="1" selected="0">
            <x v="181"/>
          </reference>
          <reference field="9" count="1" selected="0">
            <x v="89"/>
          </reference>
        </references>
      </pivotArea>
    </format>
    <format dxfId="133">
      <pivotArea dataOnly="0" labelOnly="1" outline="0" fieldPosition="0">
        <references count="4">
          <reference field="2" count="1">
            <x v="0"/>
          </reference>
          <reference field="6" count="1" selected="0">
            <x v="182"/>
          </reference>
          <reference field="8" count="1" selected="0">
            <x v="182"/>
          </reference>
          <reference field="9" count="1" selected="0">
            <x v="89"/>
          </reference>
        </references>
      </pivotArea>
    </format>
    <format dxfId="132">
      <pivotArea dataOnly="0" labelOnly="1" outline="0" fieldPosition="0">
        <references count="4">
          <reference field="2" count="1">
            <x v="0"/>
          </reference>
          <reference field="6" count="1" selected="0">
            <x v="183"/>
          </reference>
          <reference field="8" count="1" selected="0">
            <x v="183"/>
          </reference>
          <reference field="9" count="1" selected="0">
            <x v="89"/>
          </reference>
        </references>
      </pivotArea>
    </format>
    <format dxfId="131">
      <pivotArea dataOnly="0" labelOnly="1" outline="0" fieldPosition="0">
        <references count="4">
          <reference field="2" count="1">
            <x v="0"/>
          </reference>
          <reference field="6" count="1" selected="0">
            <x v="184"/>
          </reference>
          <reference field="8" count="1" selected="0">
            <x v="184"/>
          </reference>
          <reference field="9" count="1" selected="0">
            <x v="90"/>
          </reference>
        </references>
      </pivotArea>
    </format>
    <format dxfId="130">
      <pivotArea dataOnly="0" labelOnly="1" outline="0" fieldPosition="0">
        <references count="4">
          <reference field="2" count="1">
            <x v="0"/>
          </reference>
          <reference field="6" count="1" selected="0">
            <x v="185"/>
          </reference>
          <reference field="8" count="1" selected="0">
            <x v="185"/>
          </reference>
          <reference field="9" count="1" selected="0">
            <x v="91"/>
          </reference>
        </references>
      </pivotArea>
    </format>
    <format dxfId="129">
      <pivotArea dataOnly="0" labelOnly="1" outline="0" fieldPosition="0">
        <references count="4">
          <reference field="2" count="1">
            <x v="0"/>
          </reference>
          <reference field="6" count="1" selected="0">
            <x v="186"/>
          </reference>
          <reference field="8" count="1" selected="0">
            <x v="186"/>
          </reference>
          <reference field="9" count="1" selected="0">
            <x v="92"/>
          </reference>
        </references>
      </pivotArea>
    </format>
    <format dxfId="128">
      <pivotArea dataOnly="0" labelOnly="1" outline="0" fieldPosition="0">
        <references count="4">
          <reference field="2" count="1">
            <x v="0"/>
          </reference>
          <reference field="6" count="1" selected="0">
            <x v="187"/>
          </reference>
          <reference field="8" count="1" selected="0">
            <x v="187"/>
          </reference>
          <reference field="9" count="1" selected="0">
            <x v="92"/>
          </reference>
        </references>
      </pivotArea>
    </format>
    <format dxfId="127">
      <pivotArea dataOnly="0" labelOnly="1" outline="0" fieldPosition="0">
        <references count="4">
          <reference field="2" count="1">
            <x v="0"/>
          </reference>
          <reference field="6" count="1" selected="0">
            <x v="188"/>
          </reference>
          <reference field="8" count="1" selected="0">
            <x v="188"/>
          </reference>
          <reference field="9" count="1" selected="0">
            <x v="92"/>
          </reference>
        </references>
      </pivotArea>
    </format>
    <format dxfId="126">
      <pivotArea dataOnly="0" labelOnly="1" outline="0" fieldPosition="0">
        <references count="4">
          <reference field="2" count="1">
            <x v="0"/>
          </reference>
          <reference field="6" count="1" selected="0">
            <x v="189"/>
          </reference>
          <reference field="8" count="1" selected="0">
            <x v="189"/>
          </reference>
          <reference field="9" count="1" selected="0">
            <x v="92"/>
          </reference>
        </references>
      </pivotArea>
    </format>
    <format dxfId="125">
      <pivotArea dataOnly="0" labelOnly="1" outline="0" fieldPosition="0">
        <references count="4">
          <reference field="2" count="1">
            <x v="0"/>
          </reference>
          <reference field="6" count="1" selected="0">
            <x v="190"/>
          </reference>
          <reference field="8" count="1" selected="0">
            <x v="190"/>
          </reference>
          <reference field="9" count="1" selected="0">
            <x v="92"/>
          </reference>
        </references>
      </pivotArea>
    </format>
    <format dxfId="124">
      <pivotArea dataOnly="0" labelOnly="1" outline="0" fieldPosition="0">
        <references count="4">
          <reference field="2" count="1">
            <x v="0"/>
          </reference>
          <reference field="6" count="1" selected="0">
            <x v="191"/>
          </reference>
          <reference field="8" count="1" selected="0">
            <x v="191"/>
          </reference>
          <reference field="9" count="1" selected="0">
            <x v="93"/>
          </reference>
        </references>
      </pivotArea>
    </format>
    <format dxfId="123">
      <pivotArea dataOnly="0" labelOnly="1" outline="0" fieldPosition="0">
        <references count="4">
          <reference field="2" count="1">
            <x v="0"/>
          </reference>
          <reference field="6" count="1" selected="0">
            <x v="192"/>
          </reference>
          <reference field="8" count="1" selected="0">
            <x v="192"/>
          </reference>
          <reference field="9" count="1" selected="0">
            <x v="94"/>
          </reference>
        </references>
      </pivotArea>
    </format>
    <format dxfId="122">
      <pivotArea dataOnly="0" labelOnly="1" outline="0" fieldPosition="0">
        <references count="4">
          <reference field="2" count="1">
            <x v="0"/>
          </reference>
          <reference field="6" count="1" selected="0">
            <x v="193"/>
          </reference>
          <reference field="8" count="1" selected="0">
            <x v="193"/>
          </reference>
          <reference field="9" count="1" selected="0">
            <x v="94"/>
          </reference>
        </references>
      </pivotArea>
    </format>
    <format dxfId="121">
      <pivotArea dataOnly="0" labelOnly="1" outline="0" fieldPosition="0">
        <references count="4">
          <reference field="2" count="1">
            <x v="0"/>
          </reference>
          <reference field="6" count="1" selected="0">
            <x v="194"/>
          </reference>
          <reference field="8" count="1" selected="0">
            <x v="194"/>
          </reference>
          <reference field="9" count="1" selected="0">
            <x v="95"/>
          </reference>
        </references>
      </pivotArea>
    </format>
    <format dxfId="120">
      <pivotArea dataOnly="0" labelOnly="1" outline="0" fieldPosition="0">
        <references count="4">
          <reference field="2" count="1">
            <x v="0"/>
          </reference>
          <reference field="6" count="1" selected="0">
            <x v="195"/>
          </reference>
          <reference field="8" count="1" selected="0">
            <x v="195"/>
          </reference>
          <reference field="9" count="1" selected="0">
            <x v="96"/>
          </reference>
        </references>
      </pivotArea>
    </format>
    <format dxfId="119">
      <pivotArea dataOnly="0" labelOnly="1" outline="0" fieldPosition="0">
        <references count="4">
          <reference field="2" count="1">
            <x v="0"/>
          </reference>
          <reference field="6" count="1" selected="0">
            <x v="196"/>
          </reference>
          <reference field="8" count="1" selected="0">
            <x v="196"/>
          </reference>
          <reference field="9" count="1" selected="0">
            <x v="97"/>
          </reference>
        </references>
      </pivotArea>
    </format>
    <format dxfId="118">
      <pivotArea dataOnly="0" labelOnly="1" outline="0" fieldPosition="0">
        <references count="4">
          <reference field="2" count="1">
            <x v="0"/>
          </reference>
          <reference field="6" count="1" selected="0">
            <x v="197"/>
          </reference>
          <reference field="8" count="1" selected="0">
            <x v="197"/>
          </reference>
          <reference field="9" count="1" selected="0">
            <x v="98"/>
          </reference>
        </references>
      </pivotArea>
    </format>
    <format dxfId="117">
      <pivotArea dataOnly="0" labelOnly="1" outline="0" fieldPosition="0">
        <references count="4">
          <reference field="2" count="1">
            <x v="0"/>
          </reference>
          <reference field="6" count="1" selected="0">
            <x v="198"/>
          </reference>
          <reference field="8" count="1" selected="0">
            <x v="198"/>
          </reference>
          <reference field="9" count="1" selected="0">
            <x v="98"/>
          </reference>
        </references>
      </pivotArea>
    </format>
    <format dxfId="116">
      <pivotArea dataOnly="0" labelOnly="1" outline="0" fieldPosition="0">
        <references count="4">
          <reference field="2" count="1">
            <x v="0"/>
          </reference>
          <reference field="6" count="1" selected="0">
            <x v="199"/>
          </reference>
          <reference field="8" count="1" selected="0">
            <x v="199"/>
          </reference>
          <reference field="9" count="1" selected="0">
            <x v="99"/>
          </reference>
        </references>
      </pivotArea>
    </format>
    <format dxfId="115">
      <pivotArea dataOnly="0" labelOnly="1" outline="0" fieldPosition="0">
        <references count="4">
          <reference field="2" count="1">
            <x v="0"/>
          </reference>
          <reference field="6" count="1" selected="0">
            <x v="200"/>
          </reference>
          <reference field="8" count="1" selected="0">
            <x v="200"/>
          </reference>
          <reference field="9" count="1" selected="0">
            <x v="100"/>
          </reference>
        </references>
      </pivotArea>
    </format>
    <format dxfId="114">
      <pivotArea dataOnly="0" labelOnly="1" outline="0" fieldPosition="0">
        <references count="4">
          <reference field="2" count="1">
            <x v="0"/>
          </reference>
          <reference field="6" count="1" selected="0">
            <x v="201"/>
          </reference>
          <reference field="8" count="1" selected="0">
            <x v="201"/>
          </reference>
          <reference field="9" count="1" selected="0">
            <x v="101"/>
          </reference>
        </references>
      </pivotArea>
    </format>
    <format dxfId="113">
      <pivotArea dataOnly="0" labelOnly="1" outline="0" fieldPosition="0">
        <references count="4">
          <reference field="2" count="1">
            <x v="0"/>
          </reference>
          <reference field="6" count="1" selected="0">
            <x v="202"/>
          </reference>
          <reference field="8" count="1" selected="0">
            <x v="202"/>
          </reference>
          <reference field="9" count="1" selected="0">
            <x v="101"/>
          </reference>
        </references>
      </pivotArea>
    </format>
    <format dxfId="112">
      <pivotArea dataOnly="0" labelOnly="1" outline="0" fieldPosition="0">
        <references count="4">
          <reference field="2" count="1">
            <x v="0"/>
          </reference>
          <reference field="6" count="1" selected="0">
            <x v="203"/>
          </reference>
          <reference field="8" count="1" selected="0">
            <x v="203"/>
          </reference>
          <reference field="9" count="1" selected="0">
            <x v="101"/>
          </reference>
        </references>
      </pivotArea>
    </format>
    <format dxfId="111">
      <pivotArea dataOnly="0" labelOnly="1" outline="0" fieldPosition="0">
        <references count="4">
          <reference field="2" count="1">
            <x v="0"/>
          </reference>
          <reference field="6" count="1" selected="0">
            <x v="204"/>
          </reference>
          <reference field="8" count="1" selected="0">
            <x v="204"/>
          </reference>
          <reference field="9" count="1" selected="0">
            <x v="101"/>
          </reference>
        </references>
      </pivotArea>
    </format>
    <format dxfId="110">
      <pivotArea dataOnly="0" labelOnly="1" outline="0" fieldPosition="0">
        <references count="4">
          <reference field="2" count="1">
            <x v="0"/>
          </reference>
          <reference field="6" count="1" selected="0">
            <x v="205"/>
          </reference>
          <reference field="8" count="1" selected="0">
            <x v="205"/>
          </reference>
          <reference field="9" count="1" selected="0">
            <x v="102"/>
          </reference>
        </references>
      </pivotArea>
    </format>
    <format dxfId="109">
      <pivotArea dataOnly="0" labelOnly="1" outline="0" fieldPosition="0">
        <references count="4">
          <reference field="2" count="1">
            <x v="0"/>
          </reference>
          <reference field="6" count="1" selected="0">
            <x v="206"/>
          </reference>
          <reference field="8" count="1" selected="0">
            <x v="206"/>
          </reference>
          <reference field="9" count="1" selected="0">
            <x v="102"/>
          </reference>
        </references>
      </pivotArea>
    </format>
    <format dxfId="108">
      <pivotArea dataOnly="0" labelOnly="1" outline="0" fieldPosition="0">
        <references count="4">
          <reference field="2" count="1">
            <x v="0"/>
          </reference>
          <reference field="6" count="1" selected="0">
            <x v="207"/>
          </reference>
          <reference field="8" count="1" selected="0">
            <x v="207"/>
          </reference>
          <reference field="9" count="1" selected="0">
            <x v="103"/>
          </reference>
        </references>
      </pivotArea>
    </format>
    <format dxfId="107">
      <pivotArea dataOnly="0" labelOnly="1" outline="0" fieldPosition="0">
        <references count="4">
          <reference field="2" count="1">
            <x v="0"/>
          </reference>
          <reference field="6" count="1" selected="0">
            <x v="208"/>
          </reference>
          <reference field="8" count="1" selected="0">
            <x v="208"/>
          </reference>
          <reference field="9" count="1" selected="0">
            <x v="104"/>
          </reference>
        </references>
      </pivotArea>
    </format>
    <format dxfId="106">
      <pivotArea dataOnly="0" labelOnly="1" outline="0" fieldPosition="0">
        <references count="4">
          <reference field="2" count="1">
            <x v="0"/>
          </reference>
          <reference field="6" count="1" selected="0">
            <x v="209"/>
          </reference>
          <reference field="8" count="1" selected="0">
            <x v="209"/>
          </reference>
          <reference field="9" count="1" selected="0">
            <x v="105"/>
          </reference>
        </references>
      </pivotArea>
    </format>
    <format dxfId="105">
      <pivotArea dataOnly="0" labelOnly="1" outline="0" fieldPosition="0">
        <references count="4">
          <reference field="2" count="1">
            <x v="0"/>
          </reference>
          <reference field="6" count="1" selected="0">
            <x v="210"/>
          </reference>
          <reference field="8" count="1" selected="0">
            <x v="210"/>
          </reference>
          <reference field="9" count="1" selected="0">
            <x v="105"/>
          </reference>
        </references>
      </pivotArea>
    </format>
    <format dxfId="104">
      <pivotArea dataOnly="0" labelOnly="1" outline="0" fieldPosition="0">
        <references count="4">
          <reference field="2" count="1">
            <x v="0"/>
          </reference>
          <reference field="6" count="1" selected="0">
            <x v="211"/>
          </reference>
          <reference field="8" count="1" selected="0">
            <x v="211"/>
          </reference>
          <reference field="9" count="1" selected="0">
            <x v="105"/>
          </reference>
        </references>
      </pivotArea>
    </format>
    <format dxfId="103">
      <pivotArea dataOnly="0" labelOnly="1" outline="0" fieldPosition="0">
        <references count="4">
          <reference field="2" count="1">
            <x v="0"/>
          </reference>
          <reference field="6" count="1" selected="0">
            <x v="212"/>
          </reference>
          <reference field="8" count="1" selected="0">
            <x v="212"/>
          </reference>
          <reference field="9" count="1" selected="0">
            <x v="105"/>
          </reference>
        </references>
      </pivotArea>
    </format>
    <format dxfId="102">
      <pivotArea dataOnly="0" labelOnly="1" outline="0" fieldPosition="0">
        <references count="4">
          <reference field="2" count="1">
            <x v="0"/>
          </reference>
          <reference field="6" count="1" selected="0">
            <x v="213"/>
          </reference>
          <reference field="8" count="1" selected="0">
            <x v="213"/>
          </reference>
          <reference field="9" count="1" selected="0">
            <x v="105"/>
          </reference>
        </references>
      </pivotArea>
    </format>
    <format dxfId="101">
      <pivotArea dataOnly="0" labelOnly="1" outline="0" fieldPosition="0">
        <references count="4">
          <reference field="2" count="1">
            <x v="0"/>
          </reference>
          <reference field="6" count="1" selected="0">
            <x v="214"/>
          </reference>
          <reference field="8" count="1" selected="0">
            <x v="214"/>
          </reference>
          <reference field="9" count="1" selected="0">
            <x v="105"/>
          </reference>
        </references>
      </pivotArea>
    </format>
    <format dxfId="100">
      <pivotArea dataOnly="0" labelOnly="1" outline="0" fieldPosition="0">
        <references count="4">
          <reference field="2" count="1">
            <x v="0"/>
          </reference>
          <reference field="6" count="1" selected="0">
            <x v="215"/>
          </reference>
          <reference field="8" count="1" selected="0">
            <x v="215"/>
          </reference>
          <reference field="9" count="1" selected="0">
            <x v="105"/>
          </reference>
        </references>
      </pivotArea>
    </format>
    <format dxfId="99">
      <pivotArea dataOnly="0" labelOnly="1" outline="0" fieldPosition="0">
        <references count="4">
          <reference field="2" count="1">
            <x v="0"/>
          </reference>
          <reference field="6" count="1" selected="0">
            <x v="216"/>
          </reference>
          <reference field="8" count="1" selected="0">
            <x v="216"/>
          </reference>
          <reference field="9" count="1" selected="0">
            <x v="106"/>
          </reference>
        </references>
      </pivotArea>
    </format>
    <format dxfId="98">
      <pivotArea dataOnly="0" labelOnly="1" outline="0" fieldPosition="0">
        <references count="4">
          <reference field="2" count="1">
            <x v="0"/>
          </reference>
          <reference field="6" count="1" selected="0">
            <x v="217"/>
          </reference>
          <reference field="8" count="1" selected="0">
            <x v="217"/>
          </reference>
          <reference field="9" count="1" selected="0">
            <x v="107"/>
          </reference>
        </references>
      </pivotArea>
    </format>
    <format dxfId="97">
      <pivotArea dataOnly="0" labelOnly="1" outline="0" fieldPosition="0">
        <references count="4">
          <reference field="2" count="1">
            <x v="0"/>
          </reference>
          <reference field="6" count="1" selected="0">
            <x v="218"/>
          </reference>
          <reference field="8" count="1" selected="0">
            <x v="218"/>
          </reference>
          <reference field="9" count="1" selected="0">
            <x v="107"/>
          </reference>
        </references>
      </pivotArea>
    </format>
    <format dxfId="96">
      <pivotArea dataOnly="0" labelOnly="1" outline="0" fieldPosition="0">
        <references count="4">
          <reference field="2" count="1">
            <x v="0"/>
          </reference>
          <reference field="6" count="1" selected="0">
            <x v="219"/>
          </reference>
          <reference field="8" count="1" selected="0">
            <x v="219"/>
          </reference>
          <reference field="9" count="1" selected="0">
            <x v="107"/>
          </reference>
        </references>
      </pivotArea>
    </format>
    <format dxfId="95">
      <pivotArea dataOnly="0" labelOnly="1" outline="0" fieldPosition="0">
        <references count="4">
          <reference field="2" count="1">
            <x v="0"/>
          </reference>
          <reference field="6" count="1" selected="0">
            <x v="220"/>
          </reference>
          <reference field="8" count="1" selected="0">
            <x v="220"/>
          </reference>
          <reference field="9" count="1" selected="0">
            <x v="107"/>
          </reference>
        </references>
      </pivotArea>
    </format>
    <format dxfId="94">
      <pivotArea dataOnly="0" labelOnly="1" outline="0" fieldPosition="0">
        <references count="4">
          <reference field="2" count="1">
            <x v="0"/>
          </reference>
          <reference field="6" count="1" selected="0">
            <x v="221"/>
          </reference>
          <reference field="8" count="1" selected="0">
            <x v="221"/>
          </reference>
          <reference field="9" count="1" selected="0">
            <x v="108"/>
          </reference>
        </references>
      </pivotArea>
    </format>
    <format dxfId="93">
      <pivotArea dataOnly="0" labelOnly="1" outline="0" fieldPosition="0">
        <references count="4">
          <reference field="2" count="1">
            <x v="0"/>
          </reference>
          <reference field="6" count="1" selected="0">
            <x v="222"/>
          </reference>
          <reference field="8" count="1" selected="0">
            <x v="222"/>
          </reference>
          <reference field="9" count="1" selected="0">
            <x v="108"/>
          </reference>
        </references>
      </pivotArea>
    </format>
    <format dxfId="92">
      <pivotArea dataOnly="0" labelOnly="1" outline="0" fieldPosition="0">
        <references count="4">
          <reference field="2" count="1">
            <x v="0"/>
          </reference>
          <reference field="6" count="1" selected="0">
            <x v="223"/>
          </reference>
          <reference field="8" count="1" selected="0">
            <x v="223"/>
          </reference>
          <reference field="9" count="1" selected="0">
            <x v="109"/>
          </reference>
        </references>
      </pivotArea>
    </format>
    <format dxfId="91">
      <pivotArea dataOnly="0" labelOnly="1" outline="0" fieldPosition="0">
        <references count="4">
          <reference field="2" count="1">
            <x v="0"/>
          </reference>
          <reference field="6" count="1" selected="0">
            <x v="224"/>
          </reference>
          <reference field="8" count="1" selected="0">
            <x v="224"/>
          </reference>
          <reference field="9" count="1" selected="0">
            <x v="109"/>
          </reference>
        </references>
      </pivotArea>
    </format>
    <format dxfId="90">
      <pivotArea dataOnly="0" labelOnly="1" outline="0" fieldPosition="0">
        <references count="4">
          <reference field="2" count="1">
            <x v="0"/>
          </reference>
          <reference field="6" count="1" selected="0">
            <x v="225"/>
          </reference>
          <reference field="8" count="1" selected="0">
            <x v="225"/>
          </reference>
          <reference field="9" count="1" selected="0">
            <x v="110"/>
          </reference>
        </references>
      </pivotArea>
    </format>
    <format dxfId="89">
      <pivotArea dataOnly="0" labelOnly="1" outline="0" fieldPosition="0">
        <references count="4">
          <reference field="2" count="1">
            <x v="0"/>
          </reference>
          <reference field="6" count="1" selected="0">
            <x v="226"/>
          </reference>
          <reference field="8" count="1" selected="0">
            <x v="226"/>
          </reference>
          <reference field="9" count="1" selected="0">
            <x v="111"/>
          </reference>
        </references>
      </pivotArea>
    </format>
    <format dxfId="88">
      <pivotArea dataOnly="0" labelOnly="1" outline="0" fieldPosition="0">
        <references count="4">
          <reference field="2" count="1">
            <x v="0"/>
          </reference>
          <reference field="6" count="1" selected="0">
            <x v="227"/>
          </reference>
          <reference field="8" count="1" selected="0">
            <x v="227"/>
          </reference>
          <reference field="9" count="1" selected="0">
            <x v="112"/>
          </reference>
        </references>
      </pivotArea>
    </format>
    <format dxfId="87">
      <pivotArea dataOnly="0" labelOnly="1" outline="0" fieldPosition="0">
        <references count="4">
          <reference field="2" count="1">
            <x v="0"/>
          </reference>
          <reference field="6" count="1" selected="0">
            <x v="228"/>
          </reference>
          <reference field="8" count="1" selected="0">
            <x v="228"/>
          </reference>
          <reference field="9" count="1" selected="0">
            <x v="112"/>
          </reference>
        </references>
      </pivotArea>
    </format>
    <format dxfId="86">
      <pivotArea dataOnly="0" labelOnly="1" outline="0" fieldPosition="0">
        <references count="4">
          <reference field="2" count="1">
            <x v="0"/>
          </reference>
          <reference field="6" count="1" selected="0">
            <x v="229"/>
          </reference>
          <reference field="8" count="1" selected="0">
            <x v="229"/>
          </reference>
          <reference field="9" count="1" selected="0">
            <x v="113"/>
          </reference>
        </references>
      </pivotArea>
    </format>
    <format dxfId="85">
      <pivotArea dataOnly="0" labelOnly="1" outline="0" fieldPosition="0">
        <references count="4">
          <reference field="2" count="1">
            <x v="0"/>
          </reference>
          <reference field="6" count="1" selected="0">
            <x v="230"/>
          </reference>
          <reference field="8" count="1" selected="0">
            <x v="230"/>
          </reference>
          <reference field="9" count="1" selected="0">
            <x v="114"/>
          </reference>
        </references>
      </pivotArea>
    </format>
    <format dxfId="84">
      <pivotArea dataOnly="0" labelOnly="1" outline="0" fieldPosition="0">
        <references count="4">
          <reference field="2" count="1">
            <x v="0"/>
          </reference>
          <reference field="6" count="1" selected="0">
            <x v="231"/>
          </reference>
          <reference field="8" count="1" selected="0">
            <x v="231"/>
          </reference>
          <reference field="9" count="1" selected="0">
            <x v="115"/>
          </reference>
        </references>
      </pivotArea>
    </format>
    <format dxfId="83">
      <pivotArea dataOnly="0" labelOnly="1" outline="0" fieldPosition="0">
        <references count="4">
          <reference field="2" count="1">
            <x v="0"/>
          </reference>
          <reference field="6" count="1" selected="0">
            <x v="232"/>
          </reference>
          <reference field="8" count="1" selected="0">
            <x v="232"/>
          </reference>
          <reference field="9" count="1" selected="0">
            <x v="116"/>
          </reference>
        </references>
      </pivotArea>
    </format>
    <format dxfId="82">
      <pivotArea dataOnly="0" labelOnly="1" outline="0" fieldPosition="0">
        <references count="4">
          <reference field="2" count="1">
            <x v="0"/>
          </reference>
          <reference field="6" count="1" selected="0">
            <x v="233"/>
          </reference>
          <reference field="8" count="1" selected="0">
            <x v="233"/>
          </reference>
          <reference field="9" count="1" selected="0">
            <x v="117"/>
          </reference>
        </references>
      </pivotArea>
    </format>
    <format dxfId="81">
      <pivotArea dataOnly="0" labelOnly="1" outline="0" fieldPosition="0">
        <references count="4">
          <reference field="2" count="1">
            <x v="0"/>
          </reference>
          <reference field="6" count="1" selected="0">
            <x v="234"/>
          </reference>
          <reference field="8" count="1" selected="0">
            <x v="234"/>
          </reference>
          <reference field="9" count="1" selected="0">
            <x v="118"/>
          </reference>
        </references>
      </pivotArea>
    </format>
    <format dxfId="80">
      <pivotArea dataOnly="0" labelOnly="1" outline="0" fieldPosition="0">
        <references count="4">
          <reference field="2" count="1">
            <x v="0"/>
          </reference>
          <reference field="6" count="1" selected="0">
            <x v="235"/>
          </reference>
          <reference field="8" count="1" selected="0">
            <x v="235"/>
          </reference>
          <reference field="9" count="1" selected="0">
            <x v="119"/>
          </reference>
        </references>
      </pivotArea>
    </format>
    <format dxfId="79">
      <pivotArea dataOnly="0" labelOnly="1" outline="0" fieldPosition="0">
        <references count="4">
          <reference field="2" count="1">
            <x v="0"/>
          </reference>
          <reference field="6" count="1" selected="0">
            <x v="236"/>
          </reference>
          <reference field="8" count="1" selected="0">
            <x v="236"/>
          </reference>
          <reference field="9" count="1" selected="0">
            <x v="120"/>
          </reference>
        </references>
      </pivotArea>
    </format>
    <format dxfId="78">
      <pivotArea dataOnly="0" labelOnly="1" outline="0" fieldPosition="0">
        <references count="4">
          <reference field="2" count="1">
            <x v="0"/>
          </reference>
          <reference field="6" count="1" selected="0">
            <x v="237"/>
          </reference>
          <reference field="8" count="1" selected="0">
            <x v="237"/>
          </reference>
          <reference field="9" count="1" selected="0">
            <x v="121"/>
          </reference>
        </references>
      </pivotArea>
    </format>
    <format dxfId="77">
      <pivotArea dataOnly="0" labelOnly="1" outline="0" fieldPosition="0">
        <references count="4">
          <reference field="2" count="1">
            <x v="0"/>
          </reference>
          <reference field="6" count="1" selected="0">
            <x v="238"/>
          </reference>
          <reference field="8" count="1" selected="0">
            <x v="238"/>
          </reference>
          <reference field="9" count="1" selected="0">
            <x v="121"/>
          </reference>
        </references>
      </pivotArea>
    </format>
    <format dxfId="76">
      <pivotArea dataOnly="0" labelOnly="1" outline="0" fieldPosition="0">
        <references count="4">
          <reference field="2" count="1">
            <x v="0"/>
          </reference>
          <reference field="6" count="1" selected="0">
            <x v="239"/>
          </reference>
          <reference field="8" count="1" selected="0">
            <x v="239"/>
          </reference>
          <reference field="9" count="1" selected="0">
            <x v="121"/>
          </reference>
        </references>
      </pivotArea>
    </format>
    <format dxfId="75">
      <pivotArea dataOnly="0" labelOnly="1" outline="0" fieldPosition="0">
        <references count="4">
          <reference field="2" count="1">
            <x v="0"/>
          </reference>
          <reference field="6" count="1" selected="0">
            <x v="240"/>
          </reference>
          <reference field="8" count="1" selected="0">
            <x v="240"/>
          </reference>
          <reference field="9" count="1" selected="0">
            <x v="122"/>
          </reference>
        </references>
      </pivotArea>
    </format>
    <format dxfId="74">
      <pivotArea dataOnly="0" labelOnly="1" outline="0" fieldPosition="0">
        <references count="4">
          <reference field="2" count="1">
            <x v="0"/>
          </reference>
          <reference field="6" count="1" selected="0">
            <x v="241"/>
          </reference>
          <reference field="8" count="1" selected="0">
            <x v="241"/>
          </reference>
          <reference field="9" count="1" selected="0">
            <x v="123"/>
          </reference>
        </references>
      </pivotArea>
    </format>
    <format dxfId="73">
      <pivotArea dataOnly="0" labelOnly="1" outline="0" fieldPosition="0">
        <references count="4">
          <reference field="2" count="1">
            <x v="0"/>
          </reference>
          <reference field="6" count="1" selected="0">
            <x v="242"/>
          </reference>
          <reference field="8" count="1" selected="0">
            <x v="242"/>
          </reference>
          <reference field="9" count="1" selected="0">
            <x v="124"/>
          </reference>
        </references>
      </pivotArea>
    </format>
    <format dxfId="72">
      <pivotArea dataOnly="0" labelOnly="1" outline="0" fieldPosition="0">
        <references count="4">
          <reference field="2" count="1">
            <x v="0"/>
          </reference>
          <reference field="6" count="1" selected="0">
            <x v="243"/>
          </reference>
          <reference field="8" count="1" selected="0">
            <x v="243"/>
          </reference>
          <reference field="9" count="1" selected="0">
            <x v="125"/>
          </reference>
        </references>
      </pivotArea>
    </format>
    <format dxfId="71">
      <pivotArea dataOnly="0" labelOnly="1" outline="0" fieldPosition="0">
        <references count="4">
          <reference field="2" count="1">
            <x v="0"/>
          </reference>
          <reference field="6" count="1" selected="0">
            <x v="244"/>
          </reference>
          <reference field="8" count="1" selected="0">
            <x v="244"/>
          </reference>
          <reference field="9" count="1" selected="0">
            <x v="126"/>
          </reference>
        </references>
      </pivotArea>
    </format>
    <format dxfId="70">
      <pivotArea dataOnly="0" labelOnly="1" outline="0" fieldPosition="0">
        <references count="4">
          <reference field="2" count="1">
            <x v="0"/>
          </reference>
          <reference field="6" count="1" selected="0">
            <x v="245"/>
          </reference>
          <reference field="8" count="1" selected="0">
            <x v="245"/>
          </reference>
          <reference field="9" count="1" selected="0">
            <x v="127"/>
          </reference>
        </references>
      </pivotArea>
    </format>
    <format dxfId="69">
      <pivotArea dataOnly="0" labelOnly="1" outline="0" fieldPosition="0">
        <references count="4">
          <reference field="2" count="1">
            <x v="0"/>
          </reference>
          <reference field="6" count="1" selected="0">
            <x v="246"/>
          </reference>
          <reference field="8" count="1" selected="0">
            <x v="246"/>
          </reference>
          <reference field="9" count="1" selected="0">
            <x v="128"/>
          </reference>
        </references>
      </pivotArea>
    </format>
    <format dxfId="68">
      <pivotArea dataOnly="0" labelOnly="1" outline="0" fieldPosition="0">
        <references count="4">
          <reference field="2" count="1">
            <x v="0"/>
          </reference>
          <reference field="6" count="1" selected="0">
            <x v="247"/>
          </reference>
          <reference field="8" count="1" selected="0">
            <x v="247"/>
          </reference>
          <reference field="9" count="1" selected="0">
            <x v="129"/>
          </reference>
        </references>
      </pivotArea>
    </format>
    <format dxfId="67">
      <pivotArea dataOnly="0" labelOnly="1" outline="0" fieldPosition="0">
        <references count="4">
          <reference field="2" count="1">
            <x v="0"/>
          </reference>
          <reference field="6" count="1" selected="0">
            <x v="248"/>
          </reference>
          <reference field="8" count="1" selected="0">
            <x v="248"/>
          </reference>
          <reference field="9" count="1" selected="0">
            <x v="129"/>
          </reference>
        </references>
      </pivotArea>
    </format>
    <format dxfId="66">
      <pivotArea dataOnly="0" labelOnly="1" outline="0" fieldPosition="0">
        <references count="4">
          <reference field="2" count="1">
            <x v="0"/>
          </reference>
          <reference field="6" count="1" selected="0">
            <x v="249"/>
          </reference>
          <reference field="8" count="1" selected="0">
            <x v="249"/>
          </reference>
          <reference field="9" count="1" selected="0">
            <x v="130"/>
          </reference>
        </references>
      </pivotArea>
    </format>
    <format dxfId="65">
      <pivotArea dataOnly="0" labelOnly="1" outline="0" fieldPosition="0">
        <references count="4">
          <reference field="2" count="1">
            <x v="0"/>
          </reference>
          <reference field="6" count="1" selected="0">
            <x v="250"/>
          </reference>
          <reference field="8" count="1" selected="0">
            <x v="250"/>
          </reference>
          <reference field="9" count="1" selected="0">
            <x v="131"/>
          </reference>
        </references>
      </pivotArea>
    </format>
    <format dxfId="64">
      <pivotArea dataOnly="0" labelOnly="1" outline="0" fieldPosition="0">
        <references count="4">
          <reference field="2" count="1">
            <x v="0"/>
          </reference>
          <reference field="6" count="1" selected="0">
            <x v="251"/>
          </reference>
          <reference field="8" count="1" selected="0">
            <x v="251"/>
          </reference>
          <reference field="9" count="1" selected="0">
            <x v="131"/>
          </reference>
        </references>
      </pivotArea>
    </format>
    <format dxfId="63">
      <pivotArea dataOnly="0" labelOnly="1" outline="0" fieldPosition="0">
        <references count="4">
          <reference field="2" count="1">
            <x v="0"/>
          </reference>
          <reference field="6" count="1" selected="0">
            <x v="252"/>
          </reference>
          <reference field="8" count="1" selected="0">
            <x v="252"/>
          </reference>
          <reference field="9" count="1" selected="0">
            <x v="132"/>
          </reference>
        </references>
      </pivotArea>
    </format>
    <format dxfId="62">
      <pivotArea dataOnly="0" labelOnly="1" outline="0" fieldPosition="0">
        <references count="4">
          <reference field="2" count="1">
            <x v="0"/>
          </reference>
          <reference field="6" count="1" selected="0">
            <x v="253"/>
          </reference>
          <reference field="8" count="1" selected="0">
            <x v="253"/>
          </reference>
          <reference field="9" count="1" selected="0">
            <x v="133"/>
          </reference>
        </references>
      </pivotArea>
    </format>
    <format dxfId="61">
      <pivotArea dataOnly="0" labelOnly="1" outline="0" fieldPosition="0">
        <references count="4">
          <reference field="2" count="1">
            <x v="0"/>
          </reference>
          <reference field="6" count="1" selected="0">
            <x v="254"/>
          </reference>
          <reference field="8" count="1" selected="0">
            <x v="254"/>
          </reference>
          <reference field="9" count="1" selected="0">
            <x v="133"/>
          </reference>
        </references>
      </pivotArea>
    </format>
    <format dxfId="60">
      <pivotArea dataOnly="0" labelOnly="1" outline="0" fieldPosition="0">
        <references count="4">
          <reference field="2" count="1">
            <x v="0"/>
          </reference>
          <reference field="6" count="1" selected="0">
            <x v="255"/>
          </reference>
          <reference field="8" count="1" selected="0">
            <x v="255"/>
          </reference>
          <reference field="9" count="1" selected="0">
            <x v="134"/>
          </reference>
        </references>
      </pivotArea>
    </format>
    <format dxfId="59">
      <pivotArea dataOnly="0" labelOnly="1" outline="0" fieldPosition="0">
        <references count="4">
          <reference field="2" count="1">
            <x v="0"/>
          </reference>
          <reference field="6" count="1" selected="0">
            <x v="256"/>
          </reference>
          <reference field="8" count="1" selected="0">
            <x v="256"/>
          </reference>
          <reference field="9" count="1" selected="0">
            <x v="135"/>
          </reference>
        </references>
      </pivotArea>
    </format>
    <format dxfId="58">
      <pivotArea dataOnly="0" labelOnly="1" outline="0" fieldPosition="0">
        <references count="4">
          <reference field="2" count="1">
            <x v="0"/>
          </reference>
          <reference field="6" count="1" selected="0">
            <x v="257"/>
          </reference>
          <reference field="8" count="1" selected="0">
            <x v="257"/>
          </reference>
          <reference field="9" count="1" selected="0">
            <x v="136"/>
          </reference>
        </references>
      </pivotArea>
    </format>
    <format dxfId="57">
      <pivotArea dataOnly="0" labelOnly="1" outline="0" fieldPosition="0">
        <references count="4">
          <reference field="2" count="1">
            <x v="0"/>
          </reference>
          <reference field="6" count="1" selected="0">
            <x v="258"/>
          </reference>
          <reference field="8" count="1" selected="0">
            <x v="258"/>
          </reference>
          <reference field="9" count="1" selected="0">
            <x v="137"/>
          </reference>
        </references>
      </pivotArea>
    </format>
    <format dxfId="56">
      <pivotArea dataOnly="0" labelOnly="1" outline="0" fieldPosition="0">
        <references count="4">
          <reference field="2" count="1">
            <x v="0"/>
          </reference>
          <reference field="6" count="1" selected="0">
            <x v="259"/>
          </reference>
          <reference field="8" count="1" selected="0">
            <x v="259"/>
          </reference>
          <reference field="9" count="1" selected="0">
            <x v="138"/>
          </reference>
        </references>
      </pivotArea>
    </format>
    <format dxfId="55">
      <pivotArea dataOnly="0" labelOnly="1" outline="0" fieldPosition="0">
        <references count="4">
          <reference field="2" count="1">
            <x v="0"/>
          </reference>
          <reference field="6" count="1" selected="0">
            <x v="260"/>
          </reference>
          <reference field="8" count="1" selected="0">
            <x v="260"/>
          </reference>
          <reference field="9" count="1" selected="0">
            <x v="139"/>
          </reference>
        </references>
      </pivotArea>
    </format>
    <format dxfId="54">
      <pivotArea dataOnly="0" labelOnly="1" outline="0" fieldPosition="0">
        <references count="4">
          <reference field="2" count="1">
            <x v="0"/>
          </reference>
          <reference field="6" count="1" selected="0">
            <x v="265"/>
          </reference>
          <reference field="8" count="1" selected="0">
            <x v="261"/>
          </reference>
          <reference field="9" count="1" selected="0">
            <x v="143"/>
          </reference>
        </references>
      </pivotArea>
    </format>
    <format dxfId="53">
      <pivotArea dataOnly="0" labelOnly="1" outline="0" fieldPosition="0">
        <references count="4">
          <reference field="2" count="1">
            <x v="0"/>
          </reference>
          <reference field="6" count="1" selected="0">
            <x v="261"/>
          </reference>
          <reference field="8" count="1" selected="0">
            <x v="262"/>
          </reference>
          <reference field="9" count="1" selected="0">
            <x v="140"/>
          </reference>
        </references>
      </pivotArea>
    </format>
    <format dxfId="52">
      <pivotArea dataOnly="0" labelOnly="1" outline="0" fieldPosition="0">
        <references count="4">
          <reference field="2" count="1">
            <x v="0"/>
          </reference>
          <reference field="6" count="1" selected="0">
            <x v="262"/>
          </reference>
          <reference field="8" count="1" selected="0">
            <x v="263"/>
          </reference>
          <reference field="9" count="1" selected="0">
            <x v="141"/>
          </reference>
        </references>
      </pivotArea>
    </format>
    <format dxfId="51">
      <pivotArea dataOnly="0" labelOnly="1" outline="0" fieldPosition="0">
        <references count="4">
          <reference field="2" count="1">
            <x v="0"/>
          </reference>
          <reference field="6" count="1" selected="0">
            <x v="263"/>
          </reference>
          <reference field="8" count="1" selected="0">
            <x v="264"/>
          </reference>
          <reference field="9" count="1" selected="0">
            <x v="142"/>
          </reference>
        </references>
      </pivotArea>
    </format>
    <format dxfId="50">
      <pivotArea dataOnly="0" labelOnly="1" outline="0" fieldPosition="0">
        <references count="4">
          <reference field="2" count="1">
            <x v="0"/>
          </reference>
          <reference field="6" count="1" selected="0">
            <x v="264"/>
          </reference>
          <reference field="8" count="1" selected="0">
            <x v="265"/>
          </reference>
          <reference field="9" count="1" selected="0">
            <x v="142"/>
          </reference>
        </references>
      </pivotArea>
    </format>
    <format dxfId="49">
      <pivotArea dataOnly="0" labelOnly="1" outline="0" fieldPosition="0">
        <references count="4">
          <reference field="2" count="1">
            <x v="0"/>
          </reference>
          <reference field="6" count="1" selected="0">
            <x v="266"/>
          </reference>
          <reference field="8" count="1" selected="0">
            <x v="266"/>
          </reference>
          <reference field="9" count="1" selected="0">
            <x v="144"/>
          </reference>
        </references>
      </pivotArea>
    </format>
    <format dxfId="48">
      <pivotArea dataOnly="0" labelOnly="1" outline="0" fieldPosition="0">
        <references count="4">
          <reference field="2" count="1">
            <x v="0"/>
          </reference>
          <reference field="6" count="1" selected="0">
            <x v="267"/>
          </reference>
          <reference field="8" count="1" selected="0">
            <x v="267"/>
          </reference>
          <reference field="9" count="1" selected="0">
            <x v="145"/>
          </reference>
        </references>
      </pivotArea>
    </format>
    <format dxfId="47">
      <pivotArea dataOnly="0" labelOnly="1" outline="0" fieldPosition="0">
        <references count="4">
          <reference field="2" count="1">
            <x v="0"/>
          </reference>
          <reference field="6" count="1" selected="0">
            <x v="268"/>
          </reference>
          <reference field="8" count="1" selected="0">
            <x v="268"/>
          </reference>
          <reference field="9" count="1" selected="0">
            <x v="146"/>
          </reference>
        </references>
      </pivotArea>
    </format>
    <format dxfId="46">
      <pivotArea dataOnly="0" labelOnly="1" outline="0" fieldPosition="0">
        <references count="4">
          <reference field="2" count="1">
            <x v="0"/>
          </reference>
          <reference field="6" count="1" selected="0">
            <x v="269"/>
          </reference>
          <reference field="8" count="1" selected="0">
            <x v="269"/>
          </reference>
          <reference field="9" count="1" selected="0">
            <x v="147"/>
          </reference>
        </references>
      </pivotArea>
    </format>
    <format dxfId="45">
      <pivotArea dataOnly="0" labelOnly="1" outline="0" fieldPosition="0">
        <references count="4">
          <reference field="2" count="1">
            <x v="0"/>
          </reference>
          <reference field="6" count="1" selected="0">
            <x v="270"/>
          </reference>
          <reference field="8" count="1" selected="0">
            <x v="270"/>
          </reference>
          <reference field="9" count="1" selected="0">
            <x v="148"/>
          </reference>
        </references>
      </pivotArea>
    </format>
    <format dxfId="44">
      <pivotArea dataOnly="0" labelOnly="1" outline="0" fieldPosition="0">
        <references count="4">
          <reference field="2" count="1">
            <x v="0"/>
          </reference>
          <reference field="6" count="1" selected="0">
            <x v="271"/>
          </reference>
          <reference field="8" count="1" selected="0">
            <x v="271"/>
          </reference>
          <reference field="9" count="1" selected="0">
            <x v="149"/>
          </reference>
        </references>
      </pivotArea>
    </format>
    <format dxfId="43">
      <pivotArea dataOnly="0" labelOnly="1" outline="0" fieldPosition="0">
        <references count="4">
          <reference field="2" count="1">
            <x v="0"/>
          </reference>
          <reference field="6" count="1" selected="0">
            <x v="272"/>
          </reference>
          <reference field="8" count="1" selected="0">
            <x v="272"/>
          </reference>
          <reference field="9" count="1" selected="0">
            <x v="150"/>
          </reference>
        </references>
      </pivotArea>
    </format>
    <format dxfId="42">
      <pivotArea dataOnly="0" labelOnly="1" outline="0" fieldPosition="0">
        <references count="4">
          <reference field="2" count="1">
            <x v="0"/>
          </reference>
          <reference field="6" count="1" selected="0">
            <x v="273"/>
          </reference>
          <reference field="8" count="1" selected="0">
            <x v="273"/>
          </reference>
          <reference field="9" count="1" selected="0">
            <x v="151"/>
          </reference>
        </references>
      </pivotArea>
    </format>
    <format dxfId="41">
      <pivotArea dataOnly="0" labelOnly="1" outline="0" fieldPosition="0">
        <references count="4">
          <reference field="2" count="1">
            <x v="0"/>
          </reference>
          <reference field="6" count="1" selected="0">
            <x v="274"/>
          </reference>
          <reference field="8" count="1" selected="0">
            <x v="274"/>
          </reference>
          <reference field="9" count="1" selected="0">
            <x v="152"/>
          </reference>
        </references>
      </pivotArea>
    </format>
    <format dxfId="40">
      <pivotArea dataOnly="0" labelOnly="1" outline="0" fieldPosition="0">
        <references count="4">
          <reference field="2" count="1">
            <x v="0"/>
          </reference>
          <reference field="6" count="1" selected="0">
            <x v="275"/>
          </reference>
          <reference field="8" count="1" selected="0">
            <x v="275"/>
          </reference>
          <reference field="9" count="1" selected="0">
            <x v="153"/>
          </reference>
        </references>
      </pivotArea>
    </format>
    <format dxfId="39">
      <pivotArea dataOnly="0" labelOnly="1" outline="0" fieldPosition="0">
        <references count="4">
          <reference field="2" count="1">
            <x v="0"/>
          </reference>
          <reference field="6" count="1" selected="0">
            <x v="276"/>
          </reference>
          <reference field="8" count="1" selected="0">
            <x v="276"/>
          </reference>
          <reference field="9" count="1" selected="0">
            <x v="154"/>
          </reference>
        </references>
      </pivotArea>
    </format>
    <format dxfId="38">
      <pivotArea dataOnly="0" labelOnly="1" outline="0" fieldPosition="0">
        <references count="4">
          <reference field="2" count="1">
            <x v="0"/>
          </reference>
          <reference field="6" count="1" selected="0">
            <x v="277"/>
          </reference>
          <reference field="8" count="1" selected="0">
            <x v="277"/>
          </reference>
          <reference field="9" count="1" selected="0">
            <x v="155"/>
          </reference>
        </references>
      </pivotArea>
    </format>
    <format dxfId="37">
      <pivotArea dataOnly="0" labelOnly="1" outline="0" fieldPosition="0">
        <references count="4">
          <reference field="2" count="1">
            <x v="0"/>
          </reference>
          <reference field="6" count="1" selected="0">
            <x v="278"/>
          </reference>
          <reference field="8" count="1" selected="0">
            <x v="278"/>
          </reference>
          <reference field="9" count="1" selected="0">
            <x v="156"/>
          </reference>
        </references>
      </pivotArea>
    </format>
    <format dxfId="36">
      <pivotArea dataOnly="0" labelOnly="1" outline="0" fieldPosition="0">
        <references count="4">
          <reference field="2" count="1">
            <x v="0"/>
          </reference>
          <reference field="6" count="1" selected="0">
            <x v="279"/>
          </reference>
          <reference field="8" count="1" selected="0">
            <x v="279"/>
          </reference>
          <reference field="9" count="1" selected="0">
            <x v="157"/>
          </reference>
        </references>
      </pivotArea>
    </format>
    <format dxfId="35">
      <pivotArea dataOnly="0" labelOnly="1" outline="0" fieldPosition="0">
        <references count="4">
          <reference field="2" count="1">
            <x v="0"/>
          </reference>
          <reference field="6" count="1" selected="0">
            <x v="280"/>
          </reference>
          <reference field="8" count="1" selected="0">
            <x v="280"/>
          </reference>
          <reference field="9" count="1" selected="0">
            <x v="158"/>
          </reference>
        </references>
      </pivotArea>
    </format>
    <format dxfId="34">
      <pivotArea dataOnly="0" labelOnly="1" outline="0" fieldPosition="0">
        <references count="4">
          <reference field="2" count="1">
            <x v="0"/>
          </reference>
          <reference field="6" count="1" selected="0">
            <x v="281"/>
          </reference>
          <reference field="8" count="1" selected="0">
            <x v="281"/>
          </reference>
          <reference field="9" count="1" selected="0">
            <x v="159"/>
          </reference>
        </references>
      </pivotArea>
    </format>
    <format dxfId="33">
      <pivotArea dataOnly="0" labelOnly="1" outline="0" fieldPosition="0">
        <references count="4">
          <reference field="2" count="1">
            <x v="0"/>
          </reference>
          <reference field="6" count="1" selected="0">
            <x v="282"/>
          </reference>
          <reference field="8" count="1" selected="0">
            <x v="282"/>
          </reference>
          <reference field="9" count="1" selected="0">
            <x v="160"/>
          </reference>
        </references>
      </pivotArea>
    </format>
    <format dxfId="32">
      <pivotArea dataOnly="0" labelOnly="1" outline="0" fieldPosition="0">
        <references count="4">
          <reference field="2" count="1">
            <x v="0"/>
          </reference>
          <reference field="6" count="1" selected="0">
            <x v="283"/>
          </reference>
          <reference field="8" count="1" selected="0">
            <x v="283"/>
          </reference>
          <reference field="9" count="1" selected="0">
            <x v="161"/>
          </reference>
        </references>
      </pivotArea>
    </format>
    <format dxfId="31">
      <pivotArea dataOnly="0" labelOnly="1" outline="0" fieldPosition="0">
        <references count="4">
          <reference field="2" count="1">
            <x v="0"/>
          </reference>
          <reference field="6" count="1" selected="0">
            <x v="284"/>
          </reference>
          <reference field="8" count="1" selected="0">
            <x v="284"/>
          </reference>
          <reference field="9" count="1" selected="0">
            <x v="162"/>
          </reference>
        </references>
      </pivotArea>
    </format>
    <format dxfId="30">
      <pivotArea dataOnly="0" labelOnly="1" outline="0" fieldPosition="0">
        <references count="4">
          <reference field="2" count="1">
            <x v="0"/>
          </reference>
          <reference field="6" count="1" selected="0">
            <x v="285"/>
          </reference>
          <reference field="8" count="1" selected="0">
            <x v="285"/>
          </reference>
          <reference field="9" count="1" selected="0">
            <x v="163"/>
          </reference>
        </references>
      </pivotArea>
    </format>
    <format dxfId="29">
      <pivotArea dataOnly="0" labelOnly="1" outline="0" fieldPosition="0">
        <references count="4">
          <reference field="2" count="1">
            <x v="0"/>
          </reference>
          <reference field="6" count="1" selected="0">
            <x v="286"/>
          </reference>
          <reference field="8" count="1" selected="0">
            <x v="286"/>
          </reference>
          <reference field="9" count="1" selected="0">
            <x v="164"/>
          </reference>
        </references>
      </pivotArea>
    </format>
    <format dxfId="28">
      <pivotArea dataOnly="0" labelOnly="1" outline="0" fieldPosition="0">
        <references count="4">
          <reference field="2" count="1">
            <x v="0"/>
          </reference>
          <reference field="6" count="1" selected="0">
            <x v="287"/>
          </reference>
          <reference field="8" count="1" selected="0">
            <x v="287"/>
          </reference>
          <reference field="9" count="1" selected="0">
            <x v="165"/>
          </reference>
        </references>
      </pivotArea>
    </format>
    <format dxfId="27">
      <pivotArea dataOnly="0" labelOnly="1" outline="0" fieldPosition="0">
        <references count="4">
          <reference field="2" count="1">
            <x v="0"/>
          </reference>
          <reference field="6" count="1" selected="0">
            <x v="288"/>
          </reference>
          <reference field="8" count="1" selected="0">
            <x v="288"/>
          </reference>
          <reference field="9" count="1" selected="0">
            <x v="166"/>
          </reference>
        </references>
      </pivotArea>
    </format>
    <format dxfId="26">
      <pivotArea dataOnly="0" labelOnly="1" outline="0" fieldPosition="0">
        <references count="4">
          <reference field="2" count="1">
            <x v="0"/>
          </reference>
          <reference field="6" count="1" selected="0">
            <x v="289"/>
          </reference>
          <reference field="8" count="1" selected="0">
            <x v="289"/>
          </reference>
          <reference field="9" count="1" selected="0">
            <x v="167"/>
          </reference>
        </references>
      </pivotArea>
    </format>
    <format dxfId="25">
      <pivotArea dataOnly="0" labelOnly="1" outline="0" fieldPosition="0">
        <references count="4">
          <reference field="2" count="1">
            <x v="0"/>
          </reference>
          <reference field="6" count="1" selected="0">
            <x v="290"/>
          </reference>
          <reference field="8" count="1" selected="0">
            <x v="290"/>
          </reference>
          <reference field="9" count="1" selected="0">
            <x v="168"/>
          </reference>
        </references>
      </pivotArea>
    </format>
    <format dxfId="24">
      <pivotArea dataOnly="0" labelOnly="1" outline="0" fieldPosition="0">
        <references count="4">
          <reference field="2" count="1">
            <x v="0"/>
          </reference>
          <reference field="6" count="1" selected="0">
            <x v="291"/>
          </reference>
          <reference field="8" count="1" selected="0">
            <x v="291"/>
          </reference>
          <reference field="9" count="1" selected="0">
            <x v="169"/>
          </reference>
        </references>
      </pivotArea>
    </format>
    <format dxfId="23">
      <pivotArea dataOnly="0" labelOnly="1" outline="0" fieldPosition="0">
        <references count="4">
          <reference field="2" count="1">
            <x v="0"/>
          </reference>
          <reference field="6" count="1" selected="0">
            <x v="292"/>
          </reference>
          <reference field="8" count="1" selected="0">
            <x v="292"/>
          </reference>
          <reference field="9" count="1" selected="0">
            <x v="170"/>
          </reference>
        </references>
      </pivotArea>
    </format>
    <format dxfId="22">
      <pivotArea dataOnly="0" labelOnly="1" outline="0" fieldPosition="0">
        <references count="4">
          <reference field="2" count="1">
            <x v="0"/>
          </reference>
          <reference field="6" count="1" selected="0">
            <x v="293"/>
          </reference>
          <reference field="8" count="1" selected="0">
            <x v="293"/>
          </reference>
          <reference field="9" count="1" selected="0">
            <x v="171"/>
          </reference>
        </references>
      </pivotArea>
    </format>
    <format dxfId="21">
      <pivotArea dataOnly="0" labelOnly="1" outline="0" fieldPosition="0">
        <references count="4">
          <reference field="2" count="1">
            <x v="0"/>
          </reference>
          <reference field="6" count="1" selected="0">
            <x v="294"/>
          </reference>
          <reference field="8" count="1" selected="0">
            <x v="294"/>
          </reference>
          <reference field="9" count="1" selected="0">
            <x v="172"/>
          </reference>
        </references>
      </pivotArea>
    </format>
    <format dxfId="20">
      <pivotArea dataOnly="0" labelOnly="1" outline="0" fieldPosition="0">
        <references count="4">
          <reference field="2" count="1">
            <x v="0"/>
          </reference>
          <reference field="6" count="1" selected="0">
            <x v="295"/>
          </reference>
          <reference field="8" count="1" selected="0">
            <x v="295"/>
          </reference>
          <reference field="9" count="1" selected="0">
            <x v="173"/>
          </reference>
        </references>
      </pivotArea>
    </format>
    <format dxfId="19">
      <pivotArea dataOnly="0" labelOnly="1" outline="0" fieldPosition="0">
        <references count="4">
          <reference field="2" count="1">
            <x v="1"/>
          </reference>
          <reference field="6" count="1" selected="0">
            <x v="296"/>
          </reference>
          <reference field="8" count="1" selected="0">
            <x v="296"/>
          </reference>
          <reference field="9" count="1" selected="0">
            <x v="174"/>
          </reference>
        </references>
      </pivotArea>
    </format>
    <format dxfId="18">
      <pivotArea dataOnly="0" labelOnly="1" outline="0" fieldPosition="0">
        <references count="4">
          <reference field="2" count="1">
            <x v="1"/>
          </reference>
          <reference field="6" count="1" selected="0">
            <x v="297"/>
          </reference>
          <reference field="8" count="1" selected="0">
            <x v="297"/>
          </reference>
          <reference field="9" count="1" selected="0">
            <x v="174"/>
          </reference>
        </references>
      </pivotArea>
    </format>
    <format dxfId="17">
      <pivotArea dataOnly="0" labelOnly="1" outline="0" fieldPosition="0">
        <references count="4">
          <reference field="2" count="1">
            <x v="0"/>
          </reference>
          <reference field="6" count="1" selected="0">
            <x v="298"/>
          </reference>
          <reference field="8" count="1" selected="0">
            <x v="298"/>
          </reference>
          <reference field="9" count="1" selected="0">
            <x v="175"/>
          </reference>
        </references>
      </pivotArea>
    </format>
    <format dxfId="16">
      <pivotArea dataOnly="0" labelOnly="1" outline="0" fieldPosition="0">
        <references count="4">
          <reference field="2" count="1">
            <x v="0"/>
          </reference>
          <reference field="6" count="1" selected="0">
            <x v="299"/>
          </reference>
          <reference field="8" count="1" selected="0">
            <x v="299"/>
          </reference>
          <reference field="9" count="1" selected="0">
            <x v="176"/>
          </reference>
        </references>
      </pivotArea>
    </format>
    <format dxfId="15">
      <pivotArea dataOnly="0" labelOnly="1" outline="0" fieldPosition="0">
        <references count="4">
          <reference field="2" count="1">
            <x v="0"/>
          </reference>
          <reference field="6" count="1" selected="0">
            <x v="300"/>
          </reference>
          <reference field="8" count="1" selected="0">
            <x v="300"/>
          </reference>
          <reference field="9" count="1" selected="0">
            <x v="177"/>
          </reference>
        </references>
      </pivotArea>
    </format>
    <format dxfId="14">
      <pivotArea dataOnly="0" labelOnly="1" outline="0" fieldPosition="0">
        <references count="4">
          <reference field="2" count="1">
            <x v="0"/>
          </reference>
          <reference field="6" count="1" selected="0">
            <x v="301"/>
          </reference>
          <reference field="8" count="1" selected="0">
            <x v="301"/>
          </reference>
          <reference field="9" count="1" selected="0">
            <x v="177"/>
          </reference>
        </references>
      </pivotArea>
    </format>
    <format dxfId="13">
      <pivotArea dataOnly="0" labelOnly="1" outline="0" fieldPosition="0">
        <references count="4">
          <reference field="2" count="1">
            <x v="0"/>
          </reference>
          <reference field="6" count="1" selected="0">
            <x v="302"/>
          </reference>
          <reference field="8" count="1" selected="0">
            <x v="302"/>
          </reference>
          <reference field="9" count="1" selected="0">
            <x v="178"/>
          </reference>
        </references>
      </pivotArea>
    </format>
    <format dxfId="12">
      <pivotArea dataOnly="0" labelOnly="1" outline="0" fieldPosition="0">
        <references count="4">
          <reference field="2" count="1">
            <x v="0"/>
          </reference>
          <reference field="6" count="1" selected="0">
            <x v="303"/>
          </reference>
          <reference field="8" count="1" selected="0">
            <x v="303"/>
          </reference>
          <reference field="9" count="1" selected="0">
            <x v="178"/>
          </reference>
        </references>
      </pivotArea>
    </format>
    <format dxfId="11">
      <pivotArea dataOnly="0" labelOnly="1" outline="0" fieldPosition="0">
        <references count="4">
          <reference field="2" count="1">
            <x v="0"/>
          </reference>
          <reference field="6" count="1" selected="0">
            <x v="304"/>
          </reference>
          <reference field="8" count="1" selected="0">
            <x v="304"/>
          </reference>
          <reference field="9" count="1" selected="0">
            <x v="179"/>
          </reference>
        </references>
      </pivotArea>
    </format>
    <format dxfId="10">
      <pivotArea dataOnly="0" labelOnly="1" outline="0" fieldPosition="0">
        <references count="4">
          <reference field="2" count="1">
            <x v="0"/>
          </reference>
          <reference field="6" count="1" selected="0">
            <x v="305"/>
          </reference>
          <reference field="8" count="1" selected="0">
            <x v="305"/>
          </reference>
          <reference field="9" count="1" selected="0">
            <x v="180"/>
          </reference>
        </references>
      </pivotArea>
    </format>
    <format dxfId="9">
      <pivotArea dataOnly="0" labelOnly="1" outline="0" fieldPosition="0">
        <references count="4">
          <reference field="2" count="1">
            <x v="0"/>
          </reference>
          <reference field="6" count="1" selected="0">
            <x v="306"/>
          </reference>
          <reference field="8" count="1" selected="0">
            <x v="306"/>
          </reference>
          <reference field="9" count="1" selected="0">
            <x v="180"/>
          </reference>
        </references>
      </pivotArea>
    </format>
    <format dxfId="8">
      <pivotArea dataOnly="0" labelOnly="1" outline="0" fieldPosition="0">
        <references count="4">
          <reference field="2" count="1">
            <x v="0"/>
          </reference>
          <reference field="6" count="1" selected="0">
            <x v="307"/>
          </reference>
          <reference field="8" count="1" selected="0">
            <x v="307"/>
          </reference>
          <reference field="9" count="1" selected="0">
            <x v="181"/>
          </reference>
        </references>
      </pivotArea>
    </format>
    <format dxfId="7">
      <pivotArea dataOnly="0" labelOnly="1" outline="0" fieldPosition="0">
        <references count="4">
          <reference field="2" count="1">
            <x v="0"/>
          </reference>
          <reference field="6" count="1" selected="0">
            <x v="308"/>
          </reference>
          <reference field="8" count="1" selected="0">
            <x v="308"/>
          </reference>
          <reference field="9" count="1" selected="0">
            <x v="181"/>
          </reference>
        </references>
      </pivotArea>
    </format>
    <format dxfId="6">
      <pivotArea dataOnly="0" labelOnly="1" outline="0" fieldPosition="0">
        <references count="4">
          <reference field="2" count="1">
            <x v="0"/>
          </reference>
          <reference field="6" count="1" selected="0">
            <x v="309"/>
          </reference>
          <reference field="8" count="1" selected="0">
            <x v="309"/>
          </reference>
          <reference field="9" count="1" selected="0">
            <x v="181"/>
          </reference>
        </references>
      </pivotArea>
    </format>
    <format dxfId="5">
      <pivotArea dataOnly="0" labelOnly="1" outline="0" fieldPosition="0">
        <references count="4">
          <reference field="2" count="1">
            <x v="0"/>
          </reference>
          <reference field="6" count="1" selected="0">
            <x v="310"/>
          </reference>
          <reference field="8" count="1" selected="0">
            <x v="310"/>
          </reference>
          <reference field="9" count="1" selected="0">
            <x v="181"/>
          </reference>
        </references>
      </pivotArea>
    </format>
    <format dxfId="4">
      <pivotArea dataOnly="0" labelOnly="1" outline="0" fieldPosition="0">
        <references count="4">
          <reference field="2" count="1">
            <x v="0"/>
          </reference>
          <reference field="6" count="1" selected="0">
            <x v="311"/>
          </reference>
          <reference field="8" count="1" selected="0">
            <x v="311"/>
          </reference>
          <reference field="9" count="1" selected="0">
            <x v="181"/>
          </reference>
        </references>
      </pivotArea>
    </format>
    <format dxfId="3">
      <pivotArea field="8" type="button" dataOnly="0" labelOnly="1" outline="0" axis="axisRow" fieldPosition="0"/>
    </format>
    <format dxfId="2">
      <pivotArea field="6" type="button" dataOnly="0" labelOnly="1" outline="0" axis="axisRow" fieldPosition="1"/>
    </format>
    <format dxfId="1">
      <pivotArea field="9" type="button" dataOnly="0" labelOnly="1" outline="0" axis="axisRow" fieldPosition="2"/>
    </format>
    <format dxfId="0">
      <pivotArea field="2" type="button" dataOnly="0" labelOnly="1" outline="0" axis="axisRow" fieldPosition="3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C8D5F-C4B8-4E44-B755-376A95AB2AEE}" name="表格1" displayName="表格1" ref="A1:J313" totalsRowShown="0">
  <autoFilter ref="A1:J313" xr:uid="{A4CC8D5F-C4B8-4E44-B755-376A95AB2AEE}">
    <filterColumn colId="8">
      <filters>
        <filter val="12"/>
        <filter val="13"/>
        <filter val="14"/>
        <filter val="15"/>
        <filter val="16"/>
        <filter val="29"/>
        <filter val="30"/>
        <filter val="31"/>
        <filter val="32"/>
        <filter val="33"/>
        <filter val="62"/>
        <filter val="63"/>
        <filter val="64"/>
        <filter val="65"/>
        <filter val="66"/>
        <filter val="71"/>
        <filter val="72"/>
        <filter val="73"/>
        <filter val="74"/>
      </filters>
    </filterColumn>
  </autoFilter>
  <tableColumns count="10">
    <tableColumn id="1" xr3:uid="{69FD28ED-59BC-4357-8843-AF2C2F23EBFE}" name="file"/>
    <tableColumn id="2" xr3:uid="{9B23D499-2469-4796-B939-99AC6713E7F4}" name="LINE NO.">
      <calculatedColumnFormula>_xlfn.LET(_xlpm.pos,IF(ISNUMBER(FIND("TRIM",A2)), 3, 2), _xlfn.TEXTBEFORE(A2, "-", _xlpm.pos))</calculatedColumnFormula>
    </tableColumn>
    <tableColumn id="3" xr3:uid="{C99E44EF-1232-4FA9-8670-A315312BB10D}" name="Revision">
      <calculatedColumnFormula>_xlfn.TEXTBEFORE(_xlfn.TEXTAFTER(A2,"-Rev"), "-")</calculatedColumnFormula>
    </tableColumn>
    <tableColumn id="4" xr3:uid="{FD046E59-2D7B-4EFE-BB3B-874E6650F709}" name="SheetIndex">
      <calculatedColumnFormula>VALUE(_xlfn.TEXTBEFORE(_xlfn.TEXTAFTER(A2, "-", -1), "."))</calculatedColumnFormula>
    </tableColumn>
    <tableColumn id="5" xr3:uid="{60035A62-EA07-4D78-A62C-DFE75E324A3A}" name="NumSheets">
      <calculatedColumnFormula>_xlfn.MAXIFS(D:D,B:B,B2)</calculatedColumnFormula>
    </tableColumn>
    <tableColumn id="6" xr3:uid="{6F460169-4E61-4C3B-AACB-B7B357B333A7}" name="chk.NumSheets">
      <calculatedColumnFormula>_xlfn.LET(_xlpm.count, _xlfn.XLOOKUP(B2,'CL.SOL5--20251227'!I:I,'CL.SOL5--20251227'!L:L), IF(_xlpm.count=E2,"-", _xlpm.count))</calculatedColumnFormula>
    </tableColumn>
    <tableColumn id="7" xr3:uid="{67EC529A-1185-417C-94FB-415DD412A13D}" name="file_basename">
      <calculatedColumnFormula>_xlfn.TEXTBEFORE(A2,".")</calculatedColumnFormula>
    </tableColumn>
    <tableColumn id="8" xr3:uid="{4F540C9A-EBF8-44F9-AB4D-D8E0BDE372A0}" name="chk.rev">
      <calculatedColumnFormula>_xlfn.LET(_xlpm.rev, _xlfn.XLOOKUP(B2,'CL.SOL5--20251227'!I:I,'CL.SOL5--20251227'!K:K), IF(_xlpm.rev=C2, "-", _xlpm.rev))</calculatedColumnFormula>
    </tableColumn>
    <tableColumn id="9" xr3:uid="{902A98F8-DE0D-45CA-9130-104EEA397983}" name="流水號"/>
    <tableColumn id="10" xr3:uid="{499C3A4A-DECE-4723-8556-9B4CE1B1E2D0}" name="管線編號">
      <calculatedColumnFormula>_xlfn.XLOOKUP(B2,'CL.SOL5--20251227'!I:I,'CL.SOL5--20251227'!H:H)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F548-45C0-844A-9F0E-606FE3E162CA}">
  <dimension ref="A1:N185"/>
  <sheetViews>
    <sheetView workbookViewId="0">
      <selection activeCell="A2" sqref="A2"/>
    </sheetView>
  </sheetViews>
  <sheetFormatPr defaultColWidth="10.90625" defaultRowHeight="15"/>
  <cols>
    <col min="1" max="1" width="6.5" bestFit="1" customWidth="1"/>
    <col min="2" max="2" width="32" bestFit="1" customWidth="1"/>
    <col min="3" max="3" width="7.81640625" bestFit="1" customWidth="1"/>
    <col min="4" max="6" width="10.1796875" bestFit="1" customWidth="1"/>
    <col min="8" max="8" width="32" bestFit="1" customWidth="1"/>
    <col min="9" max="9" width="17.31640625" bestFit="1" customWidth="1"/>
    <col min="10" max="10" width="11.1796875" bestFit="1" customWidth="1"/>
    <col min="11" max="11" width="15.81640625" style="13" customWidth="1"/>
    <col min="12" max="12" width="12.31640625" style="13" customWidth="1"/>
    <col min="13" max="13" width="11.81640625" bestFit="1" customWidth="1"/>
    <col min="14" max="14" width="14.6796875" bestFit="1" customWidth="1"/>
  </cols>
  <sheetData>
    <row r="1" spans="1:14" ht="30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375</v>
      </c>
      <c r="I1" s="11" t="s">
        <v>376</v>
      </c>
      <c r="J1" s="11" t="s">
        <v>377</v>
      </c>
      <c r="K1" s="11" t="s">
        <v>378</v>
      </c>
      <c r="L1" s="11" t="s">
        <v>379</v>
      </c>
      <c r="M1" s="11" t="s">
        <v>380</v>
      </c>
      <c r="N1" s="14" t="s">
        <v>696</v>
      </c>
    </row>
    <row r="2" spans="1:14" ht="16.5">
      <c r="A2" s="3" t="s">
        <v>7</v>
      </c>
      <c r="B2" s="4" t="s">
        <v>8</v>
      </c>
      <c r="C2" s="4">
        <v>3</v>
      </c>
      <c r="D2" s="5">
        <v>45947</v>
      </c>
      <c r="E2" s="5">
        <v>45973</v>
      </c>
      <c r="F2" s="5"/>
      <c r="G2" s="6"/>
      <c r="H2" s="4" t="s">
        <v>8</v>
      </c>
      <c r="I2" t="str">
        <f>_xlfn.LET(_xlpm.pos,IF(ISNUMBER(FIND("TRIM",B2)), 3, 2), _xlfn.TEXTBEFORE(B2, "-", _xlpm.pos))</f>
        <v>CW-22101</v>
      </c>
      <c r="J2" s="12">
        <f>_xlfn.XLOOKUP("*",D2:F2,D2:F2,"",-1)</f>
        <v>45973</v>
      </c>
      <c r="K2" s="13" t="str">
        <f>_xlfn.TEXTAFTER(_xlfn.XLOOKUP(J2,2:2,$1:$1), ".")</f>
        <v>0</v>
      </c>
      <c r="L2" s="13" cm="1">
        <f t="array" ref="L2">VALUE(_xlfn.IFS(ISERROR(FIND("(",C2,1)),C2,TRUE,MID(C2,FIND("(",C2,1)+1,LEN(C2)-FIND("(",C2,1)-1)))</f>
        <v>3</v>
      </c>
      <c r="N2" t="str">
        <f>_xlfn.LET(_xlpm.count, _xlfn.MAXIFS('DWG NO.ALL'!D:D,'DWG NO.ALL'!B:B,I2), IF(_xlpm.count=L2, "-", _xlpm.count))</f>
        <v>-</v>
      </c>
    </row>
    <row r="3" spans="1:14" ht="16.5">
      <c r="A3" s="3" t="s">
        <v>9</v>
      </c>
      <c r="B3" s="4" t="s">
        <v>10</v>
      </c>
      <c r="C3" s="4">
        <v>3</v>
      </c>
      <c r="D3" s="5">
        <v>45947</v>
      </c>
      <c r="E3" s="5">
        <v>45973</v>
      </c>
      <c r="F3" s="5"/>
      <c r="G3" s="6"/>
      <c r="H3" s="4" t="s">
        <v>10</v>
      </c>
      <c r="I3" t="str">
        <f t="shared" ref="I3:I66" si="0">_xlfn.LET(_xlpm.pos,IF(ISNUMBER(FIND("TRIM",B3)), 3, 2), _xlfn.TEXTBEFORE(B3, "-", _xlpm.pos))</f>
        <v>CW-22102</v>
      </c>
      <c r="J3" s="12">
        <f t="shared" ref="J3:J66" si="1">_xlfn.XLOOKUP("*",D3:F3,D3:F3,"",-1)</f>
        <v>45973</v>
      </c>
      <c r="K3" s="13" t="str">
        <f t="shared" ref="K3:K66" si="2">_xlfn.TEXTAFTER(_xlfn.XLOOKUP(J3,3:3,$1:$1), ".")</f>
        <v>0</v>
      </c>
      <c r="L3" s="13" cm="1">
        <f t="array" ref="L3">VALUE(_xlfn.IFS(ISERROR(FIND("(",C3,1)),C3,TRUE,MID(C3,FIND("(",C3,1)+1,LEN(C3)-FIND("(",C3,1)-1)))</f>
        <v>3</v>
      </c>
      <c r="N3" t="str">
        <f>_xlfn.LET(_xlpm.count, _xlfn.MAXIFS('DWG NO.ALL'!D:D,'DWG NO.ALL'!B:B,I3), IF(_xlpm.count=L3, "-", _xlpm.count))</f>
        <v>-</v>
      </c>
    </row>
    <row r="4" spans="1:14" ht="16.5">
      <c r="A4" s="3" t="s">
        <v>11</v>
      </c>
      <c r="B4" s="4" t="s">
        <v>12</v>
      </c>
      <c r="C4" s="4">
        <v>2</v>
      </c>
      <c r="D4" s="5">
        <v>45947</v>
      </c>
      <c r="E4" s="5">
        <v>45973</v>
      </c>
      <c r="F4" s="5"/>
      <c r="G4" s="6"/>
      <c r="H4" s="4" t="s">
        <v>12</v>
      </c>
      <c r="I4" t="str">
        <f t="shared" si="0"/>
        <v>CW-22103</v>
      </c>
      <c r="J4" s="12">
        <f t="shared" si="1"/>
        <v>45973</v>
      </c>
      <c r="K4" s="13" t="str">
        <f t="shared" si="2"/>
        <v>0</v>
      </c>
      <c r="L4" s="13" cm="1">
        <f t="array" ref="L4">VALUE(_xlfn.IFS(ISERROR(FIND("(",C4,1)),C4,TRUE,MID(C4,FIND("(",C4,1)+1,LEN(C4)-FIND("(",C4,1)-1)))</f>
        <v>2</v>
      </c>
      <c r="N4" t="str">
        <f>_xlfn.LET(_xlpm.count, _xlfn.MAXIFS('DWG NO.ALL'!D:D,'DWG NO.ALL'!B:B,I4), IF(_xlpm.count=L4, "-", _xlpm.count))</f>
        <v>-</v>
      </c>
    </row>
    <row r="5" spans="1:14" ht="16.5">
      <c r="A5" s="3" t="s">
        <v>13</v>
      </c>
      <c r="B5" s="4" t="s">
        <v>14</v>
      </c>
      <c r="C5" s="4">
        <v>3</v>
      </c>
      <c r="D5" s="5">
        <v>45947</v>
      </c>
      <c r="E5" s="5">
        <v>45973</v>
      </c>
      <c r="F5" s="5"/>
      <c r="G5" s="6"/>
      <c r="H5" s="4" t="s">
        <v>14</v>
      </c>
      <c r="I5" t="str">
        <f t="shared" si="0"/>
        <v>CW-22104</v>
      </c>
      <c r="J5" s="12">
        <f t="shared" si="1"/>
        <v>45973</v>
      </c>
      <c r="K5" s="13" t="str">
        <f t="shared" si="2"/>
        <v>0</v>
      </c>
      <c r="L5" s="13" cm="1">
        <f t="array" ref="L5">VALUE(_xlfn.IFS(ISERROR(FIND("(",C5,1)),C5,TRUE,MID(C5,FIND("(",C5,1)+1,LEN(C5)-FIND("(",C5,1)-1)))</f>
        <v>3</v>
      </c>
      <c r="N5" t="str">
        <f>_xlfn.LET(_xlpm.count, _xlfn.MAXIFS('DWG NO.ALL'!D:D,'DWG NO.ALL'!B:B,I5), IF(_xlpm.count=L5, "-", _xlpm.count))</f>
        <v>-</v>
      </c>
    </row>
    <row r="6" spans="1:14" ht="16.5">
      <c r="A6" s="3" t="s">
        <v>15</v>
      </c>
      <c r="B6" s="4" t="s">
        <v>16</v>
      </c>
      <c r="C6" s="4">
        <v>2</v>
      </c>
      <c r="D6" s="5">
        <v>45947</v>
      </c>
      <c r="E6" s="5">
        <v>45973</v>
      </c>
      <c r="F6" s="5"/>
      <c r="G6" s="6"/>
      <c r="H6" s="4" t="s">
        <v>16</v>
      </c>
      <c r="I6" t="str">
        <f t="shared" si="0"/>
        <v>CW-22105</v>
      </c>
      <c r="J6" s="12">
        <f t="shared" si="1"/>
        <v>45973</v>
      </c>
      <c r="K6" s="13" t="str">
        <f t="shared" si="2"/>
        <v>0</v>
      </c>
      <c r="L6" s="13" cm="1">
        <f t="array" ref="L6">VALUE(_xlfn.IFS(ISERROR(FIND("(",C6,1)),C6,TRUE,MID(C6,FIND("(",C6,1)+1,LEN(C6)-FIND("(",C6,1)-1)))</f>
        <v>2</v>
      </c>
      <c r="N6" t="str">
        <f>_xlfn.LET(_xlpm.count, _xlfn.MAXIFS('DWG NO.ALL'!D:D,'DWG NO.ALL'!B:B,I6), IF(_xlpm.count=L6, "-", _xlpm.count))</f>
        <v>-</v>
      </c>
    </row>
    <row r="7" spans="1:14" ht="16.5">
      <c r="A7" s="3" t="s">
        <v>17</v>
      </c>
      <c r="B7" s="4" t="s">
        <v>18</v>
      </c>
      <c r="C7" s="4">
        <v>3</v>
      </c>
      <c r="D7" s="5">
        <v>45947</v>
      </c>
      <c r="E7" s="5">
        <v>45973</v>
      </c>
      <c r="F7" s="5"/>
      <c r="G7" s="6"/>
      <c r="H7" s="4" t="s">
        <v>18</v>
      </c>
      <c r="I7" t="str">
        <f t="shared" si="0"/>
        <v>CW-22106</v>
      </c>
      <c r="J7" s="12">
        <f t="shared" si="1"/>
        <v>45973</v>
      </c>
      <c r="K7" s="13" t="str">
        <f t="shared" si="2"/>
        <v>0</v>
      </c>
      <c r="L7" s="13" cm="1">
        <f t="array" ref="L7">VALUE(_xlfn.IFS(ISERROR(FIND("(",C7,1)),C7,TRUE,MID(C7,FIND("(",C7,1)+1,LEN(C7)-FIND("(",C7,1)-1)))</f>
        <v>3</v>
      </c>
      <c r="N7" t="str">
        <f>_xlfn.LET(_xlpm.count, _xlfn.MAXIFS('DWG NO.ALL'!D:D,'DWG NO.ALL'!B:B,I7), IF(_xlpm.count=L7, "-", _xlpm.count))</f>
        <v>-</v>
      </c>
    </row>
    <row r="8" spans="1:14" ht="16.5">
      <c r="A8" s="3" t="s">
        <v>19</v>
      </c>
      <c r="B8" s="4" t="s">
        <v>20</v>
      </c>
      <c r="C8" s="4">
        <v>3</v>
      </c>
      <c r="D8" s="5">
        <v>45947</v>
      </c>
      <c r="E8" s="5">
        <v>45973</v>
      </c>
      <c r="F8" s="5"/>
      <c r="G8" s="6"/>
      <c r="H8" s="4" t="s">
        <v>20</v>
      </c>
      <c r="I8" t="str">
        <f t="shared" si="0"/>
        <v>CW-22201</v>
      </c>
      <c r="J8" s="12">
        <f t="shared" si="1"/>
        <v>45973</v>
      </c>
      <c r="K8" s="13" t="str">
        <f t="shared" si="2"/>
        <v>0</v>
      </c>
      <c r="L8" s="13" cm="1">
        <f t="array" ref="L8">VALUE(_xlfn.IFS(ISERROR(FIND("(",C8,1)),C8,TRUE,MID(C8,FIND("(",C8,1)+1,LEN(C8)-FIND("(",C8,1)-1)))</f>
        <v>3</v>
      </c>
      <c r="N8" t="str">
        <f>_xlfn.LET(_xlpm.count, _xlfn.MAXIFS('DWG NO.ALL'!D:D,'DWG NO.ALL'!B:B,I8), IF(_xlpm.count=L8, "-", _xlpm.count))</f>
        <v>-</v>
      </c>
    </row>
    <row r="9" spans="1:14" ht="16.5">
      <c r="A9" s="3" t="s">
        <v>21</v>
      </c>
      <c r="B9" s="4" t="s">
        <v>22</v>
      </c>
      <c r="C9" s="4">
        <v>3</v>
      </c>
      <c r="D9" s="5">
        <v>45947</v>
      </c>
      <c r="E9" s="5">
        <v>45973</v>
      </c>
      <c r="F9" s="5"/>
      <c r="G9" s="6"/>
      <c r="H9" s="4" t="s">
        <v>22</v>
      </c>
      <c r="I9" t="str">
        <f t="shared" si="0"/>
        <v>CW-22202</v>
      </c>
      <c r="J9" s="12">
        <f t="shared" si="1"/>
        <v>45973</v>
      </c>
      <c r="K9" s="13" t="str">
        <f t="shared" si="2"/>
        <v>0</v>
      </c>
      <c r="L9" s="13" cm="1">
        <f t="array" ref="L9">VALUE(_xlfn.IFS(ISERROR(FIND("(",C9,1)),C9,TRUE,MID(C9,FIND("(",C9,1)+1,LEN(C9)-FIND("(",C9,1)-1)))</f>
        <v>3</v>
      </c>
      <c r="N9" t="str">
        <f>_xlfn.LET(_xlpm.count, _xlfn.MAXIFS('DWG NO.ALL'!D:D,'DWG NO.ALL'!B:B,I9), IF(_xlpm.count=L9, "-", _xlpm.count))</f>
        <v>-</v>
      </c>
    </row>
    <row r="10" spans="1:14" ht="16.5">
      <c r="A10" s="3" t="s">
        <v>23</v>
      </c>
      <c r="B10" s="4" t="s">
        <v>24</v>
      </c>
      <c r="C10" s="4">
        <v>2</v>
      </c>
      <c r="D10" s="5">
        <v>45947</v>
      </c>
      <c r="E10" s="5">
        <v>45973</v>
      </c>
      <c r="F10" s="5"/>
      <c r="G10" s="6"/>
      <c r="H10" s="4" t="s">
        <v>24</v>
      </c>
      <c r="I10" t="str">
        <f t="shared" si="0"/>
        <v>CW-22203</v>
      </c>
      <c r="J10" s="12">
        <f t="shared" si="1"/>
        <v>45973</v>
      </c>
      <c r="K10" s="13" t="str">
        <f t="shared" si="2"/>
        <v>0</v>
      </c>
      <c r="L10" s="13" cm="1">
        <f t="array" ref="L10">VALUE(_xlfn.IFS(ISERROR(FIND("(",C10,1)),C10,TRUE,MID(C10,FIND("(",C10,1)+1,LEN(C10)-FIND("(",C10,1)-1)))</f>
        <v>2</v>
      </c>
      <c r="N10" t="str">
        <f>_xlfn.LET(_xlpm.count, _xlfn.MAXIFS('DWG NO.ALL'!D:D,'DWG NO.ALL'!B:B,I10), IF(_xlpm.count=L10, "-", _xlpm.count))</f>
        <v>-</v>
      </c>
    </row>
    <row r="11" spans="1:14" ht="16.5">
      <c r="A11" s="3" t="s">
        <v>25</v>
      </c>
      <c r="B11" s="4" t="s">
        <v>26</v>
      </c>
      <c r="C11" s="4">
        <v>4</v>
      </c>
      <c r="D11" s="5">
        <v>45947</v>
      </c>
      <c r="E11" s="5">
        <v>45973</v>
      </c>
      <c r="F11" s="5"/>
      <c r="G11" s="6"/>
      <c r="H11" s="4" t="s">
        <v>26</v>
      </c>
      <c r="I11" t="str">
        <f t="shared" si="0"/>
        <v>CW-22204</v>
      </c>
      <c r="J11" s="12">
        <f t="shared" si="1"/>
        <v>45973</v>
      </c>
      <c r="K11" s="13" t="str">
        <f t="shared" si="2"/>
        <v>0</v>
      </c>
      <c r="L11" s="13" cm="1">
        <f t="array" ref="L11">VALUE(_xlfn.IFS(ISERROR(FIND("(",C11,1)),C11,TRUE,MID(C11,FIND("(",C11,1)+1,LEN(C11)-FIND("(",C11,1)-1)))</f>
        <v>4</v>
      </c>
      <c r="N11" t="str">
        <f>_xlfn.LET(_xlpm.count, _xlfn.MAXIFS('DWG NO.ALL'!D:D,'DWG NO.ALL'!B:B,I11), IF(_xlpm.count=L11, "-", _xlpm.count))</f>
        <v>-</v>
      </c>
    </row>
    <row r="12" spans="1:14" ht="16.5">
      <c r="A12" s="3" t="s">
        <v>27</v>
      </c>
      <c r="B12" s="4" t="s">
        <v>28</v>
      </c>
      <c r="C12" s="4">
        <v>2</v>
      </c>
      <c r="D12" s="5">
        <v>45947</v>
      </c>
      <c r="E12" s="5">
        <v>45973</v>
      </c>
      <c r="F12" s="5"/>
      <c r="G12" s="6"/>
      <c r="H12" s="4" t="s">
        <v>28</v>
      </c>
      <c r="I12" t="str">
        <f t="shared" si="0"/>
        <v>CW-22205</v>
      </c>
      <c r="J12" s="12">
        <f t="shared" si="1"/>
        <v>45973</v>
      </c>
      <c r="K12" s="13" t="str">
        <f t="shared" si="2"/>
        <v>0</v>
      </c>
      <c r="L12" s="13" cm="1">
        <f t="array" ref="L12">VALUE(_xlfn.IFS(ISERROR(FIND("(",C12,1)),C12,TRUE,MID(C12,FIND("(",C12,1)+1,LEN(C12)-FIND("(",C12,1)-1)))</f>
        <v>2</v>
      </c>
      <c r="N12" t="str">
        <f>_xlfn.LET(_xlpm.count, _xlfn.MAXIFS('DWG NO.ALL'!D:D,'DWG NO.ALL'!B:B,I12), IF(_xlpm.count=L12, "-", _xlpm.count))</f>
        <v>-</v>
      </c>
    </row>
    <row r="13" spans="1:14" ht="16.5">
      <c r="A13" s="3" t="s">
        <v>29</v>
      </c>
      <c r="B13" s="4" t="s">
        <v>30</v>
      </c>
      <c r="C13" s="4">
        <v>3</v>
      </c>
      <c r="D13" s="5">
        <v>45947</v>
      </c>
      <c r="E13" s="5">
        <v>45973</v>
      </c>
      <c r="F13" s="5"/>
      <c r="G13" s="6"/>
      <c r="H13" s="4" t="s">
        <v>30</v>
      </c>
      <c r="I13" t="str">
        <f t="shared" si="0"/>
        <v>CW-22206</v>
      </c>
      <c r="J13" s="12">
        <f t="shared" si="1"/>
        <v>45973</v>
      </c>
      <c r="K13" s="13" t="str">
        <f t="shared" si="2"/>
        <v>0</v>
      </c>
      <c r="L13" s="13" cm="1">
        <f t="array" ref="L13">VALUE(_xlfn.IFS(ISERROR(FIND("(",C13,1)),C13,TRUE,MID(C13,FIND("(",C13,1)+1,LEN(C13)-FIND("(",C13,1)-1)))</f>
        <v>3</v>
      </c>
      <c r="N13" t="str">
        <f>_xlfn.LET(_xlpm.count, _xlfn.MAXIFS('DWG NO.ALL'!D:D,'DWG NO.ALL'!B:B,I13), IF(_xlpm.count=L13, "-", _xlpm.count))</f>
        <v>-</v>
      </c>
    </row>
    <row r="14" spans="1:14" ht="16.5">
      <c r="A14" s="3" t="s">
        <v>31</v>
      </c>
      <c r="B14" s="4" t="s">
        <v>32</v>
      </c>
      <c r="C14" s="4">
        <v>2</v>
      </c>
      <c r="D14" s="5">
        <v>45947</v>
      </c>
      <c r="E14" s="5">
        <v>45973</v>
      </c>
      <c r="F14" s="5"/>
      <c r="G14" s="6"/>
      <c r="H14" s="4" t="s">
        <v>32</v>
      </c>
      <c r="I14" t="str">
        <f t="shared" si="0"/>
        <v>CW-22351</v>
      </c>
      <c r="J14" s="12">
        <f t="shared" si="1"/>
        <v>45973</v>
      </c>
      <c r="K14" s="13" t="str">
        <f t="shared" si="2"/>
        <v>0</v>
      </c>
      <c r="L14" s="13" cm="1">
        <f t="array" ref="L14">VALUE(_xlfn.IFS(ISERROR(FIND("(",C14,1)),C14,TRUE,MID(C14,FIND("(",C14,1)+1,LEN(C14)-FIND("(",C14,1)-1)))</f>
        <v>2</v>
      </c>
      <c r="N14" t="str">
        <f>_xlfn.LET(_xlpm.count, _xlfn.MAXIFS('DWG NO.ALL'!D:D,'DWG NO.ALL'!B:B,I14), IF(_xlpm.count=L14, "-", _xlpm.count))</f>
        <v>-</v>
      </c>
    </row>
    <row r="15" spans="1:14" ht="16.5">
      <c r="A15" s="3" t="s">
        <v>33</v>
      </c>
      <c r="B15" s="4" t="s">
        <v>34</v>
      </c>
      <c r="C15" s="4">
        <v>2</v>
      </c>
      <c r="D15" s="5">
        <v>45947</v>
      </c>
      <c r="E15" s="5">
        <v>45973</v>
      </c>
      <c r="F15" s="5"/>
      <c r="G15" s="6"/>
      <c r="H15" s="4" t="s">
        <v>34</v>
      </c>
      <c r="I15" t="str">
        <f t="shared" si="0"/>
        <v>CW-22352</v>
      </c>
      <c r="J15" s="12">
        <f t="shared" si="1"/>
        <v>45973</v>
      </c>
      <c r="K15" s="13" t="str">
        <f t="shared" si="2"/>
        <v>0</v>
      </c>
      <c r="L15" s="13" cm="1">
        <f t="array" ref="L15">VALUE(_xlfn.IFS(ISERROR(FIND("(",C15,1)),C15,TRUE,MID(C15,FIND("(",C15,1)+1,LEN(C15)-FIND("(",C15,1)-1)))</f>
        <v>2</v>
      </c>
      <c r="N15" t="str">
        <f>_xlfn.LET(_xlpm.count, _xlfn.MAXIFS('DWG NO.ALL'!D:D,'DWG NO.ALL'!B:B,I15), IF(_xlpm.count=L15, "-", _xlpm.count))</f>
        <v>-</v>
      </c>
    </row>
    <row r="16" spans="1:14" ht="16.5">
      <c r="A16" s="3" t="s">
        <v>35</v>
      </c>
      <c r="B16" s="4" t="s">
        <v>36</v>
      </c>
      <c r="C16" s="4">
        <v>5</v>
      </c>
      <c r="D16" s="5">
        <v>45947</v>
      </c>
      <c r="E16" s="5">
        <v>45973</v>
      </c>
      <c r="F16" s="5"/>
      <c r="G16" s="6"/>
      <c r="H16" s="4" t="s">
        <v>36</v>
      </c>
      <c r="I16" t="str">
        <f t="shared" si="0"/>
        <v>FO-903A01</v>
      </c>
      <c r="J16" s="12">
        <f t="shared" si="1"/>
        <v>45973</v>
      </c>
      <c r="K16" s="13" t="str">
        <f t="shared" si="2"/>
        <v>0</v>
      </c>
      <c r="L16" s="13" cm="1">
        <f t="array" ref="L16">VALUE(_xlfn.IFS(ISERROR(FIND("(",C16,1)),C16,TRUE,MID(C16,FIND("(",C16,1)+1,LEN(C16)-FIND("(",C16,1)-1)))</f>
        <v>5</v>
      </c>
      <c r="N16" t="str">
        <f>_xlfn.LET(_xlpm.count, _xlfn.MAXIFS('DWG NO.ALL'!D:D,'DWG NO.ALL'!B:B,I16), IF(_xlpm.count=L16, "-", _xlpm.count))</f>
        <v>-</v>
      </c>
    </row>
    <row r="17" spans="1:14" ht="16.5">
      <c r="A17" s="3" t="s">
        <v>37</v>
      </c>
      <c r="B17" s="4" t="s">
        <v>38</v>
      </c>
      <c r="C17" s="4">
        <v>5</v>
      </c>
      <c r="D17" s="5">
        <v>45947</v>
      </c>
      <c r="E17" s="5">
        <v>45973</v>
      </c>
      <c r="F17" s="5"/>
      <c r="G17" s="6"/>
      <c r="H17" s="4" t="s">
        <v>38</v>
      </c>
      <c r="I17" t="str">
        <f t="shared" si="0"/>
        <v>FO-903A02</v>
      </c>
      <c r="J17" s="12">
        <f t="shared" si="1"/>
        <v>45973</v>
      </c>
      <c r="K17" s="13" t="str">
        <f t="shared" si="2"/>
        <v>0</v>
      </c>
      <c r="L17" s="13" cm="1">
        <f t="array" ref="L17">VALUE(_xlfn.IFS(ISERROR(FIND("(",C17,1)),C17,TRUE,MID(C17,FIND("(",C17,1)+1,LEN(C17)-FIND("(",C17,1)-1)))</f>
        <v>5</v>
      </c>
      <c r="N17" t="str">
        <f>_xlfn.LET(_xlpm.count, _xlfn.MAXIFS('DWG NO.ALL'!D:D,'DWG NO.ALL'!B:B,I17), IF(_xlpm.count=L17, "-", _xlpm.count))</f>
        <v>-</v>
      </c>
    </row>
    <row r="18" spans="1:14" ht="16.5">
      <c r="A18" s="3" t="s">
        <v>39</v>
      </c>
      <c r="B18" s="4" t="s">
        <v>40</v>
      </c>
      <c r="C18" s="4">
        <v>1</v>
      </c>
      <c r="D18" s="5">
        <v>45947</v>
      </c>
      <c r="E18" s="5">
        <v>45973</v>
      </c>
      <c r="F18" s="5"/>
      <c r="G18" s="6"/>
      <c r="H18" s="4" t="s">
        <v>40</v>
      </c>
      <c r="I18" t="str">
        <f t="shared" si="0"/>
        <v>FO-903A03</v>
      </c>
      <c r="J18" s="12">
        <f t="shared" si="1"/>
        <v>45973</v>
      </c>
      <c r="K18" s="13" t="str">
        <f t="shared" si="2"/>
        <v>0</v>
      </c>
      <c r="L18" s="13" cm="1">
        <f t="array" ref="L18">VALUE(_xlfn.IFS(ISERROR(FIND("(",C18,1)),C18,TRUE,MID(C18,FIND("(",C18,1)+1,LEN(C18)-FIND("(",C18,1)-1)))</f>
        <v>1</v>
      </c>
      <c r="N18" t="str">
        <f>_xlfn.LET(_xlpm.count, _xlfn.MAXIFS('DWG NO.ALL'!D:D,'DWG NO.ALL'!B:B,I18), IF(_xlpm.count=L18, "-", _xlpm.count))</f>
        <v>-</v>
      </c>
    </row>
    <row r="19" spans="1:14" ht="16.5">
      <c r="A19" s="3" t="s">
        <v>41</v>
      </c>
      <c r="B19" s="4" t="s">
        <v>42</v>
      </c>
      <c r="C19" s="4">
        <v>1</v>
      </c>
      <c r="D19" s="5">
        <v>45947</v>
      </c>
      <c r="E19" s="5">
        <v>45973</v>
      </c>
      <c r="F19" s="5"/>
      <c r="G19" s="6"/>
      <c r="H19" s="4" t="s">
        <v>42</v>
      </c>
      <c r="I19" t="str">
        <f t="shared" si="0"/>
        <v>FO-903A04</v>
      </c>
      <c r="J19" s="12">
        <f t="shared" si="1"/>
        <v>45973</v>
      </c>
      <c r="K19" s="13" t="str">
        <f t="shared" si="2"/>
        <v>0</v>
      </c>
      <c r="L19" s="13" cm="1">
        <f t="array" ref="L19">VALUE(_xlfn.IFS(ISERROR(FIND("(",C19,1)),C19,TRUE,MID(C19,FIND("(",C19,1)+1,LEN(C19)-FIND("(",C19,1)-1)))</f>
        <v>1</v>
      </c>
      <c r="N19" t="str">
        <f>_xlfn.LET(_xlpm.count, _xlfn.MAXIFS('DWG NO.ALL'!D:D,'DWG NO.ALL'!B:B,I19), IF(_xlpm.count=L19, "-", _xlpm.count))</f>
        <v>-</v>
      </c>
    </row>
    <row r="20" spans="1:14" ht="16.5">
      <c r="A20" s="3" t="s">
        <v>43</v>
      </c>
      <c r="B20" s="4" t="s">
        <v>44</v>
      </c>
      <c r="C20" s="4">
        <v>1</v>
      </c>
      <c r="D20" s="5">
        <v>45947</v>
      </c>
      <c r="E20" s="5">
        <v>45973</v>
      </c>
      <c r="F20" s="5"/>
      <c r="G20" s="6"/>
      <c r="H20" s="4" t="s">
        <v>44</v>
      </c>
      <c r="I20" t="str">
        <f t="shared" si="0"/>
        <v>FO-903A05</v>
      </c>
      <c r="J20" s="12">
        <f t="shared" si="1"/>
        <v>45973</v>
      </c>
      <c r="K20" s="13" t="str">
        <f t="shared" si="2"/>
        <v>0</v>
      </c>
      <c r="L20" s="13" cm="1">
        <f t="array" ref="L20">VALUE(_xlfn.IFS(ISERROR(FIND("(",C20,1)),C20,TRUE,MID(C20,FIND("(",C20,1)+1,LEN(C20)-FIND("(",C20,1)-1)))</f>
        <v>1</v>
      </c>
      <c r="N20" t="str">
        <f>_xlfn.LET(_xlpm.count, _xlfn.MAXIFS('DWG NO.ALL'!D:D,'DWG NO.ALL'!B:B,I20), IF(_xlpm.count=L20, "-", _xlpm.count))</f>
        <v>-</v>
      </c>
    </row>
    <row r="21" spans="1:14" ht="16.5">
      <c r="A21" s="3" t="s">
        <v>45</v>
      </c>
      <c r="B21" s="4" t="s">
        <v>46</v>
      </c>
      <c r="C21" s="4">
        <v>1</v>
      </c>
      <c r="D21" s="5">
        <v>45947</v>
      </c>
      <c r="E21" s="5">
        <v>45973</v>
      </c>
      <c r="F21" s="5"/>
      <c r="G21" s="6"/>
      <c r="H21" s="4" t="s">
        <v>46</v>
      </c>
      <c r="I21" t="str">
        <f t="shared" si="0"/>
        <v>FO-903A06</v>
      </c>
      <c r="J21" s="12">
        <f t="shared" si="1"/>
        <v>45973</v>
      </c>
      <c r="K21" s="13" t="str">
        <f t="shared" si="2"/>
        <v>0</v>
      </c>
      <c r="L21" s="13" cm="1">
        <f t="array" ref="L21">VALUE(_xlfn.IFS(ISERROR(FIND("(",C21,1)),C21,TRUE,MID(C21,FIND("(",C21,1)+1,LEN(C21)-FIND("(",C21,1)-1)))</f>
        <v>1</v>
      </c>
      <c r="N21" t="str">
        <f>_xlfn.LET(_xlpm.count, _xlfn.MAXIFS('DWG NO.ALL'!D:D,'DWG NO.ALL'!B:B,I21), IF(_xlpm.count=L21, "-", _xlpm.count))</f>
        <v>-</v>
      </c>
    </row>
    <row r="22" spans="1:14" ht="16.5">
      <c r="A22" s="3" t="s">
        <v>47</v>
      </c>
      <c r="B22" s="4" t="s">
        <v>48</v>
      </c>
      <c r="C22" s="4">
        <v>1</v>
      </c>
      <c r="D22" s="5">
        <v>45947</v>
      </c>
      <c r="E22" s="5">
        <v>45973</v>
      </c>
      <c r="F22" s="5"/>
      <c r="G22" s="6"/>
      <c r="H22" s="4" t="s">
        <v>48</v>
      </c>
      <c r="I22" t="str">
        <f t="shared" si="0"/>
        <v>FO-903A07</v>
      </c>
      <c r="J22" s="12">
        <f t="shared" si="1"/>
        <v>45973</v>
      </c>
      <c r="K22" s="13" t="str">
        <f t="shared" si="2"/>
        <v>0</v>
      </c>
      <c r="L22" s="13" cm="1">
        <f t="array" ref="L22">VALUE(_xlfn.IFS(ISERROR(FIND("(",C22,1)),C22,TRUE,MID(C22,FIND("(",C22,1)+1,LEN(C22)-FIND("(",C22,1)-1)))</f>
        <v>1</v>
      </c>
      <c r="N22" t="str">
        <f>_xlfn.LET(_xlpm.count, _xlfn.MAXIFS('DWG NO.ALL'!D:D,'DWG NO.ALL'!B:B,I22), IF(_xlpm.count=L22, "-", _xlpm.count))</f>
        <v>-</v>
      </c>
    </row>
    <row r="23" spans="1:14" ht="16.5">
      <c r="A23" s="3" t="s">
        <v>49</v>
      </c>
      <c r="B23" s="4" t="s">
        <v>50</v>
      </c>
      <c r="C23" s="4">
        <v>1</v>
      </c>
      <c r="D23" s="5">
        <v>45947</v>
      </c>
      <c r="E23" s="5">
        <v>45973</v>
      </c>
      <c r="F23" s="5"/>
      <c r="G23" s="6"/>
      <c r="H23" s="4" t="s">
        <v>50</v>
      </c>
      <c r="I23" t="str">
        <f t="shared" si="0"/>
        <v>FO-903A08</v>
      </c>
      <c r="J23" s="12">
        <f t="shared" si="1"/>
        <v>45973</v>
      </c>
      <c r="K23" s="13" t="str">
        <f t="shared" si="2"/>
        <v>0</v>
      </c>
      <c r="L23" s="13" cm="1">
        <f t="array" ref="L23">VALUE(_xlfn.IFS(ISERROR(FIND("(",C23,1)),C23,TRUE,MID(C23,FIND("(",C23,1)+1,LEN(C23)-FIND("(",C23,1)-1)))</f>
        <v>1</v>
      </c>
      <c r="N23" t="str">
        <f>_xlfn.LET(_xlpm.count, _xlfn.MAXIFS('DWG NO.ALL'!D:D,'DWG NO.ALL'!B:B,I23), IF(_xlpm.count=L23, "-", _xlpm.count))</f>
        <v>-</v>
      </c>
    </row>
    <row r="24" spans="1:14" ht="16.5">
      <c r="A24" s="3" t="s">
        <v>51</v>
      </c>
      <c r="B24" s="4" t="s">
        <v>52</v>
      </c>
      <c r="C24" s="4">
        <v>1</v>
      </c>
      <c r="D24" s="5">
        <v>45947</v>
      </c>
      <c r="E24" s="5">
        <v>45973</v>
      </c>
      <c r="F24" s="5"/>
      <c r="G24" s="6"/>
      <c r="H24" s="4" t="s">
        <v>52</v>
      </c>
      <c r="I24" t="str">
        <f t="shared" si="0"/>
        <v>HS-22101</v>
      </c>
      <c r="J24" s="12">
        <f t="shared" si="1"/>
        <v>45973</v>
      </c>
      <c r="K24" s="13" t="str">
        <f t="shared" si="2"/>
        <v>0</v>
      </c>
      <c r="L24" s="13" cm="1">
        <f t="array" ref="L24">VALUE(_xlfn.IFS(ISERROR(FIND("(",C24,1)),C24,TRUE,MID(C24,FIND("(",C24,1)+1,LEN(C24)-FIND("(",C24,1)-1)))</f>
        <v>1</v>
      </c>
      <c r="N24" t="str">
        <f>_xlfn.LET(_xlpm.count, _xlfn.MAXIFS('DWG NO.ALL'!D:D,'DWG NO.ALL'!B:B,I24), IF(_xlpm.count=L24, "-", _xlpm.count))</f>
        <v>-</v>
      </c>
    </row>
    <row r="25" spans="1:14" ht="16.5">
      <c r="A25" s="3" t="s">
        <v>53</v>
      </c>
      <c r="B25" s="4" t="s">
        <v>54</v>
      </c>
      <c r="C25" s="4">
        <v>1</v>
      </c>
      <c r="D25" s="5">
        <v>45947</v>
      </c>
      <c r="E25" s="5">
        <v>45973</v>
      </c>
      <c r="F25" s="5"/>
      <c r="G25" s="6"/>
      <c r="H25" s="4" t="s">
        <v>54</v>
      </c>
      <c r="I25" t="str">
        <f t="shared" si="0"/>
        <v>HS-22201</v>
      </c>
      <c r="J25" s="12">
        <f t="shared" si="1"/>
        <v>45973</v>
      </c>
      <c r="K25" s="13" t="str">
        <f t="shared" si="2"/>
        <v>0</v>
      </c>
      <c r="L25" s="13" cm="1">
        <f t="array" ref="L25">VALUE(_xlfn.IFS(ISERROR(FIND("(",C25,1)),C25,TRUE,MID(C25,FIND("(",C25,1)+1,LEN(C25)-FIND("(",C25,1)-1)))</f>
        <v>1</v>
      </c>
      <c r="N25" t="str">
        <f>_xlfn.LET(_xlpm.count, _xlfn.MAXIFS('DWG NO.ALL'!D:D,'DWG NO.ALL'!B:B,I25), IF(_xlpm.count=L25, "-", _xlpm.count))</f>
        <v>-</v>
      </c>
    </row>
    <row r="26" spans="1:14" ht="16.5">
      <c r="A26" s="3" t="s">
        <v>55</v>
      </c>
      <c r="B26" s="4" t="s">
        <v>56</v>
      </c>
      <c r="C26" s="4">
        <v>3</v>
      </c>
      <c r="D26" s="5">
        <v>45947</v>
      </c>
      <c r="E26" s="5">
        <v>45973</v>
      </c>
      <c r="F26" s="5"/>
      <c r="G26" s="6"/>
      <c r="H26" s="4" t="s">
        <v>56</v>
      </c>
      <c r="I26" t="str">
        <f t="shared" si="0"/>
        <v>HS-22341</v>
      </c>
      <c r="J26" s="12">
        <f t="shared" si="1"/>
        <v>45973</v>
      </c>
      <c r="K26" s="13" t="str">
        <f t="shared" si="2"/>
        <v>0</v>
      </c>
      <c r="L26" s="13" cm="1">
        <f t="array" ref="L26">VALUE(_xlfn.IFS(ISERROR(FIND("(",C26,1)),C26,TRUE,MID(C26,FIND("(",C26,1)+1,LEN(C26)-FIND("(",C26,1)-1)))</f>
        <v>3</v>
      </c>
      <c r="N26" t="str">
        <f>_xlfn.LET(_xlpm.count, _xlfn.MAXIFS('DWG NO.ALL'!D:D,'DWG NO.ALL'!B:B,I26), IF(_xlpm.count=L26, "-", _xlpm.count))</f>
        <v>-</v>
      </c>
    </row>
    <row r="27" spans="1:14" ht="16.5">
      <c r="A27" s="3" t="s">
        <v>57</v>
      </c>
      <c r="B27" s="4" t="s">
        <v>58</v>
      </c>
      <c r="C27" s="4">
        <v>3</v>
      </c>
      <c r="D27" s="5">
        <v>45947</v>
      </c>
      <c r="E27" s="5">
        <v>45973</v>
      </c>
      <c r="F27" s="5"/>
      <c r="G27" s="6"/>
      <c r="H27" s="4" t="s">
        <v>58</v>
      </c>
      <c r="I27" t="str">
        <f t="shared" si="0"/>
        <v>IA-22361</v>
      </c>
      <c r="J27" s="12">
        <f t="shared" si="1"/>
        <v>45973</v>
      </c>
      <c r="K27" s="13" t="str">
        <f t="shared" si="2"/>
        <v>0</v>
      </c>
      <c r="L27" s="13" cm="1">
        <f t="array" ref="L27">VALUE(_xlfn.IFS(ISERROR(FIND("(",C27,1)),C27,TRUE,MID(C27,FIND("(",C27,1)+1,LEN(C27)-FIND("(",C27,1)-1)))</f>
        <v>3</v>
      </c>
      <c r="N27" t="str">
        <f>_xlfn.LET(_xlpm.count, _xlfn.MAXIFS('DWG NO.ALL'!D:D,'DWG NO.ALL'!B:B,I27), IF(_xlpm.count=L27, "-", _xlpm.count))</f>
        <v>-</v>
      </c>
    </row>
    <row r="28" spans="1:14" ht="16.5">
      <c r="A28" s="3" t="s">
        <v>59</v>
      </c>
      <c r="B28" s="4" t="s">
        <v>60</v>
      </c>
      <c r="C28" s="4">
        <v>2</v>
      </c>
      <c r="D28" s="5">
        <v>45947</v>
      </c>
      <c r="E28" s="5">
        <v>45973</v>
      </c>
      <c r="F28" s="5"/>
      <c r="G28" s="6"/>
      <c r="H28" s="4" t="s">
        <v>60</v>
      </c>
      <c r="I28" t="str">
        <f t="shared" si="0"/>
        <v>ICW-22101</v>
      </c>
      <c r="J28" s="12">
        <f t="shared" si="1"/>
        <v>45973</v>
      </c>
      <c r="K28" s="13" t="str">
        <f t="shared" si="2"/>
        <v>0</v>
      </c>
      <c r="L28" s="13" cm="1">
        <f t="array" ref="L28">VALUE(_xlfn.IFS(ISERROR(FIND("(",C28,1)),C28,TRUE,MID(C28,FIND("(",C28,1)+1,LEN(C28)-FIND("(",C28,1)-1)))</f>
        <v>2</v>
      </c>
      <c r="N28" t="str">
        <f>_xlfn.LET(_xlpm.count, _xlfn.MAXIFS('DWG NO.ALL'!D:D,'DWG NO.ALL'!B:B,I28), IF(_xlpm.count=L28, "-", _xlpm.count))</f>
        <v>-</v>
      </c>
    </row>
    <row r="29" spans="1:14" ht="16.5">
      <c r="A29" s="3" t="s">
        <v>61</v>
      </c>
      <c r="B29" s="4" t="s">
        <v>62</v>
      </c>
      <c r="C29" s="4">
        <v>3</v>
      </c>
      <c r="D29" s="5">
        <v>45947</v>
      </c>
      <c r="E29" s="5">
        <v>45973</v>
      </c>
      <c r="F29" s="5"/>
      <c r="G29" s="6"/>
      <c r="H29" s="4" t="s">
        <v>62</v>
      </c>
      <c r="I29" t="str">
        <f t="shared" si="0"/>
        <v>ICW-22102</v>
      </c>
      <c r="J29" s="12">
        <f t="shared" si="1"/>
        <v>45973</v>
      </c>
      <c r="K29" s="13" t="str">
        <f t="shared" si="2"/>
        <v>0</v>
      </c>
      <c r="L29" s="13" cm="1">
        <f t="array" ref="L29">VALUE(_xlfn.IFS(ISERROR(FIND("(",C29,1)),C29,TRUE,MID(C29,FIND("(",C29,1)+1,LEN(C29)-FIND("(",C29,1)-1)))</f>
        <v>3</v>
      </c>
      <c r="N29" t="str">
        <f>_xlfn.LET(_xlpm.count, _xlfn.MAXIFS('DWG NO.ALL'!D:D,'DWG NO.ALL'!B:B,I29), IF(_xlpm.count=L29, "-", _xlpm.count))</f>
        <v>-</v>
      </c>
    </row>
    <row r="30" spans="1:14" ht="16.5">
      <c r="A30" s="3" t="s">
        <v>63</v>
      </c>
      <c r="B30" s="4" t="s">
        <v>64</v>
      </c>
      <c r="C30" s="4">
        <v>1</v>
      </c>
      <c r="D30" s="5">
        <v>45947</v>
      </c>
      <c r="E30" s="5">
        <v>45973</v>
      </c>
      <c r="F30" s="7"/>
      <c r="G30" s="8"/>
      <c r="H30" s="4" t="s">
        <v>64</v>
      </c>
      <c r="I30" t="str">
        <f t="shared" si="0"/>
        <v>ICW-22107</v>
      </c>
      <c r="J30" s="12">
        <f t="shared" si="1"/>
        <v>45973</v>
      </c>
      <c r="K30" s="13" t="str">
        <f t="shared" si="2"/>
        <v>0</v>
      </c>
      <c r="L30" s="13" cm="1">
        <f t="array" ref="L30">VALUE(_xlfn.IFS(ISERROR(FIND("(",C30,1)),C30,TRUE,MID(C30,FIND("(",C30,1)+1,LEN(C30)-FIND("(",C30,1)-1)))</f>
        <v>1</v>
      </c>
      <c r="N30" t="str">
        <f>_xlfn.LET(_xlpm.count, _xlfn.MAXIFS('DWG NO.ALL'!D:D,'DWG NO.ALL'!B:B,I30), IF(_xlpm.count=L30, "-", _xlpm.count))</f>
        <v>-</v>
      </c>
    </row>
    <row r="31" spans="1:14" ht="16.5">
      <c r="A31" s="3" t="s">
        <v>65</v>
      </c>
      <c r="B31" s="4" t="s">
        <v>66</v>
      </c>
      <c r="C31" s="4">
        <v>1</v>
      </c>
      <c r="D31" s="5">
        <v>45947</v>
      </c>
      <c r="E31" s="5">
        <v>45973</v>
      </c>
      <c r="F31" s="7"/>
      <c r="G31" s="8"/>
      <c r="H31" s="4" t="s">
        <v>66</v>
      </c>
      <c r="I31" t="str">
        <f t="shared" si="0"/>
        <v>ICW-22108</v>
      </c>
      <c r="J31" s="12">
        <f t="shared" si="1"/>
        <v>45973</v>
      </c>
      <c r="K31" s="13" t="str">
        <f t="shared" si="2"/>
        <v>0</v>
      </c>
      <c r="L31" s="13" cm="1">
        <f t="array" ref="L31">VALUE(_xlfn.IFS(ISERROR(FIND("(",C31,1)),C31,TRUE,MID(C31,FIND("(",C31,1)+1,LEN(C31)-FIND("(",C31,1)-1)))</f>
        <v>1</v>
      </c>
      <c r="N31" t="str">
        <f>_xlfn.LET(_xlpm.count, _xlfn.MAXIFS('DWG NO.ALL'!D:D,'DWG NO.ALL'!B:B,I31), IF(_xlpm.count=L31, "-", _xlpm.count))</f>
        <v>-</v>
      </c>
    </row>
    <row r="32" spans="1:14" ht="16.5">
      <c r="A32" s="3" t="s">
        <v>67</v>
      </c>
      <c r="B32" s="4" t="s">
        <v>68</v>
      </c>
      <c r="C32" s="4">
        <v>1</v>
      </c>
      <c r="D32" s="5">
        <v>45947</v>
      </c>
      <c r="E32" s="5">
        <v>45973</v>
      </c>
      <c r="F32" s="7"/>
      <c r="G32" s="8"/>
      <c r="H32" s="4" t="s">
        <v>68</v>
      </c>
      <c r="I32" t="str">
        <f t="shared" si="0"/>
        <v>ICW-22109</v>
      </c>
      <c r="J32" s="12">
        <f t="shared" si="1"/>
        <v>45973</v>
      </c>
      <c r="K32" s="13" t="str">
        <f t="shared" si="2"/>
        <v>0</v>
      </c>
      <c r="L32" s="13" cm="1">
        <f t="array" ref="L32">VALUE(_xlfn.IFS(ISERROR(FIND("(",C32,1)),C32,TRUE,MID(C32,FIND("(",C32,1)+1,LEN(C32)-FIND("(",C32,1)-1)))</f>
        <v>1</v>
      </c>
      <c r="N32" t="str">
        <f>_xlfn.LET(_xlpm.count, _xlfn.MAXIFS('DWG NO.ALL'!D:D,'DWG NO.ALL'!B:B,I32), IF(_xlpm.count=L32, "-", _xlpm.count))</f>
        <v>-</v>
      </c>
    </row>
    <row r="33" spans="1:14" ht="16.5">
      <c r="A33" s="3" t="s">
        <v>69</v>
      </c>
      <c r="B33" s="4" t="s">
        <v>70</v>
      </c>
      <c r="C33" s="4">
        <v>1</v>
      </c>
      <c r="D33" s="5">
        <v>45947</v>
      </c>
      <c r="E33" s="5">
        <v>45973</v>
      </c>
      <c r="F33" s="7"/>
      <c r="G33" s="8"/>
      <c r="H33" s="4" t="s">
        <v>70</v>
      </c>
      <c r="I33" t="str">
        <f t="shared" si="0"/>
        <v>ICW-22110</v>
      </c>
      <c r="J33" s="12">
        <f t="shared" si="1"/>
        <v>45973</v>
      </c>
      <c r="K33" s="13" t="str">
        <f t="shared" si="2"/>
        <v>0</v>
      </c>
      <c r="L33" s="13" cm="1">
        <f t="array" ref="L33">VALUE(_xlfn.IFS(ISERROR(FIND("(",C33,1)),C33,TRUE,MID(C33,FIND("(",C33,1)+1,LEN(C33)-FIND("(",C33,1)-1)))</f>
        <v>1</v>
      </c>
      <c r="N33" t="str">
        <f>_xlfn.LET(_xlpm.count, _xlfn.MAXIFS('DWG NO.ALL'!D:D,'DWG NO.ALL'!B:B,I33), IF(_xlpm.count=L33, "-", _xlpm.count))</f>
        <v>-</v>
      </c>
    </row>
    <row r="34" spans="1:14" ht="16.5">
      <c r="A34" s="3" t="s">
        <v>71</v>
      </c>
      <c r="B34" s="4" t="s">
        <v>72</v>
      </c>
      <c r="C34" s="4">
        <v>2</v>
      </c>
      <c r="D34" s="5">
        <v>45947</v>
      </c>
      <c r="E34" s="5">
        <v>45973</v>
      </c>
      <c r="F34" s="7"/>
      <c r="G34" s="8"/>
      <c r="H34" s="4" t="s">
        <v>72</v>
      </c>
      <c r="I34" t="str">
        <f t="shared" si="0"/>
        <v>ICW-22201</v>
      </c>
      <c r="J34" s="12">
        <f t="shared" si="1"/>
        <v>45973</v>
      </c>
      <c r="K34" s="13" t="str">
        <f t="shared" si="2"/>
        <v>0</v>
      </c>
      <c r="L34" s="13" cm="1">
        <f t="array" ref="L34">VALUE(_xlfn.IFS(ISERROR(FIND("(",C34,1)),C34,TRUE,MID(C34,FIND("(",C34,1)+1,LEN(C34)-FIND("(",C34,1)-1)))</f>
        <v>2</v>
      </c>
      <c r="N34" t="str">
        <f>_xlfn.LET(_xlpm.count, _xlfn.MAXIFS('DWG NO.ALL'!D:D,'DWG NO.ALL'!B:B,I34), IF(_xlpm.count=L34, "-", _xlpm.count))</f>
        <v>-</v>
      </c>
    </row>
    <row r="35" spans="1:14" ht="16.5">
      <c r="A35" s="3" t="s">
        <v>73</v>
      </c>
      <c r="B35" s="4" t="s">
        <v>74</v>
      </c>
      <c r="C35" s="4">
        <v>2</v>
      </c>
      <c r="D35" s="5">
        <v>45947</v>
      </c>
      <c r="E35" s="5">
        <v>45973</v>
      </c>
      <c r="F35" s="7"/>
      <c r="G35" s="8"/>
      <c r="H35" s="4" t="s">
        <v>74</v>
      </c>
      <c r="I35" t="str">
        <f t="shared" si="0"/>
        <v>ICW-22202</v>
      </c>
      <c r="J35" s="12">
        <f t="shared" si="1"/>
        <v>45973</v>
      </c>
      <c r="K35" s="13" t="str">
        <f t="shared" si="2"/>
        <v>0</v>
      </c>
      <c r="L35" s="13" cm="1">
        <f t="array" ref="L35">VALUE(_xlfn.IFS(ISERROR(FIND("(",C35,1)),C35,TRUE,MID(C35,FIND("(",C35,1)+1,LEN(C35)-FIND("(",C35,1)-1)))</f>
        <v>2</v>
      </c>
      <c r="N35" t="str">
        <f>_xlfn.LET(_xlpm.count, _xlfn.MAXIFS('DWG NO.ALL'!D:D,'DWG NO.ALL'!B:B,I35), IF(_xlpm.count=L35, "-", _xlpm.count))</f>
        <v>-</v>
      </c>
    </row>
    <row r="36" spans="1:14" ht="16.5">
      <c r="A36" s="3" t="s">
        <v>75</v>
      </c>
      <c r="B36" s="4" t="s">
        <v>76</v>
      </c>
      <c r="C36" s="4">
        <v>1</v>
      </c>
      <c r="D36" s="5">
        <v>45947</v>
      </c>
      <c r="E36" s="5">
        <v>45973</v>
      </c>
      <c r="F36" s="7"/>
      <c r="G36" s="8"/>
      <c r="H36" s="4" t="s">
        <v>76</v>
      </c>
      <c r="I36" t="str">
        <f t="shared" si="0"/>
        <v>ICW-22207</v>
      </c>
      <c r="J36" s="12">
        <f t="shared" si="1"/>
        <v>45973</v>
      </c>
      <c r="K36" s="13" t="str">
        <f t="shared" si="2"/>
        <v>0</v>
      </c>
      <c r="L36" s="13" cm="1">
        <f t="array" ref="L36">VALUE(_xlfn.IFS(ISERROR(FIND("(",C36,1)),C36,TRUE,MID(C36,FIND("(",C36,1)+1,LEN(C36)-FIND("(",C36,1)-1)))</f>
        <v>1</v>
      </c>
      <c r="N36" t="str">
        <f>_xlfn.LET(_xlpm.count, _xlfn.MAXIFS('DWG NO.ALL'!D:D,'DWG NO.ALL'!B:B,I36), IF(_xlpm.count=L36, "-", _xlpm.count))</f>
        <v>-</v>
      </c>
    </row>
    <row r="37" spans="1:14" ht="16.5">
      <c r="A37" s="3" t="s">
        <v>77</v>
      </c>
      <c r="B37" s="4" t="s">
        <v>78</v>
      </c>
      <c r="C37" s="4">
        <v>1</v>
      </c>
      <c r="D37" s="5">
        <v>45947</v>
      </c>
      <c r="E37" s="5">
        <v>45973</v>
      </c>
      <c r="F37" s="7"/>
      <c r="G37" s="8"/>
      <c r="H37" s="4" t="s">
        <v>78</v>
      </c>
      <c r="I37" t="str">
        <f t="shared" si="0"/>
        <v>ICW-22208</v>
      </c>
      <c r="J37" s="12">
        <f t="shared" si="1"/>
        <v>45973</v>
      </c>
      <c r="K37" s="13" t="str">
        <f t="shared" si="2"/>
        <v>0</v>
      </c>
      <c r="L37" s="13" cm="1">
        <f t="array" ref="L37">VALUE(_xlfn.IFS(ISERROR(FIND("(",C37,1)),C37,TRUE,MID(C37,FIND("(",C37,1)+1,LEN(C37)-FIND("(",C37,1)-1)))</f>
        <v>1</v>
      </c>
      <c r="N37" t="str">
        <f>_xlfn.LET(_xlpm.count, _xlfn.MAXIFS('DWG NO.ALL'!D:D,'DWG NO.ALL'!B:B,I37), IF(_xlpm.count=L37, "-", _xlpm.count))</f>
        <v>-</v>
      </c>
    </row>
    <row r="38" spans="1:14" ht="16.5">
      <c r="A38" s="3" t="s">
        <v>79</v>
      </c>
      <c r="B38" s="4" t="s">
        <v>80</v>
      </c>
      <c r="C38" s="4">
        <v>2</v>
      </c>
      <c r="D38" s="5">
        <v>45947</v>
      </c>
      <c r="E38" s="5">
        <v>45973</v>
      </c>
      <c r="F38" s="7"/>
      <c r="G38" s="8"/>
      <c r="H38" s="4" t="s">
        <v>80</v>
      </c>
      <c r="I38" t="str">
        <f t="shared" si="0"/>
        <v>ICW-22352</v>
      </c>
      <c r="J38" s="12">
        <f t="shared" si="1"/>
        <v>45973</v>
      </c>
      <c r="K38" s="13" t="str">
        <f t="shared" si="2"/>
        <v>0</v>
      </c>
      <c r="L38" s="13" cm="1">
        <f t="array" ref="L38">VALUE(_xlfn.IFS(ISERROR(FIND("(",C38,1)),C38,TRUE,MID(C38,FIND("(",C38,1)+1,LEN(C38)-FIND("(",C38,1)-1)))</f>
        <v>2</v>
      </c>
      <c r="N38" t="str">
        <f>_xlfn.LET(_xlpm.count, _xlfn.MAXIFS('DWG NO.ALL'!D:D,'DWG NO.ALL'!B:B,I38), IF(_xlpm.count=L38, "-", _xlpm.count))</f>
        <v>-</v>
      </c>
    </row>
    <row r="39" spans="1:14" ht="16.5">
      <c r="A39" s="3" t="s">
        <v>81</v>
      </c>
      <c r="B39" s="4" t="s">
        <v>82</v>
      </c>
      <c r="C39" s="4">
        <v>2</v>
      </c>
      <c r="D39" s="5">
        <v>45947</v>
      </c>
      <c r="E39" s="5">
        <v>45973</v>
      </c>
      <c r="F39" s="7"/>
      <c r="G39" s="8"/>
      <c r="H39" s="4" t="s">
        <v>82</v>
      </c>
      <c r="I39" t="str">
        <f t="shared" si="0"/>
        <v>ICW-22351</v>
      </c>
      <c r="J39" s="12">
        <f t="shared" si="1"/>
        <v>45973</v>
      </c>
      <c r="K39" s="13" t="str">
        <f t="shared" si="2"/>
        <v>0</v>
      </c>
      <c r="L39" s="13" cm="1">
        <f t="array" ref="L39">VALUE(_xlfn.IFS(ISERROR(FIND("(",C39,1)),C39,TRUE,MID(C39,FIND("(",C39,1)+1,LEN(C39)-FIND("(",C39,1)-1)))</f>
        <v>2</v>
      </c>
      <c r="N39" t="str">
        <f>_xlfn.LET(_xlpm.count, _xlfn.MAXIFS('DWG NO.ALL'!D:D,'DWG NO.ALL'!B:B,I39), IF(_xlpm.count=L39, "-", _xlpm.count))</f>
        <v>-</v>
      </c>
    </row>
    <row r="40" spans="1:14" ht="16.5">
      <c r="A40" s="3" t="s">
        <v>83</v>
      </c>
      <c r="B40" s="4" t="s">
        <v>84</v>
      </c>
      <c r="C40" s="4">
        <v>3</v>
      </c>
      <c r="D40" s="5">
        <v>45947</v>
      </c>
      <c r="E40" s="5">
        <v>45973</v>
      </c>
      <c r="F40" s="7"/>
      <c r="G40" s="8"/>
      <c r="H40" s="4" t="s">
        <v>84</v>
      </c>
      <c r="I40" t="str">
        <f t="shared" si="0"/>
        <v>IW-22371</v>
      </c>
      <c r="J40" s="12">
        <f t="shared" si="1"/>
        <v>45973</v>
      </c>
      <c r="K40" s="13" t="str">
        <f t="shared" si="2"/>
        <v>0</v>
      </c>
      <c r="L40" s="13" cm="1">
        <f t="array" ref="L40">VALUE(_xlfn.IFS(ISERROR(FIND("(",C40,1)),C40,TRUE,MID(C40,FIND("(",C40,1)+1,LEN(C40)-FIND("(",C40,1)-1)))</f>
        <v>3</v>
      </c>
      <c r="N40" t="str">
        <f>_xlfn.LET(_xlpm.count, _xlfn.MAXIFS('DWG NO.ALL'!D:D,'DWG NO.ALL'!B:B,I40), IF(_xlpm.count=L40, "-", _xlpm.count))</f>
        <v>-</v>
      </c>
    </row>
    <row r="41" spans="1:14" ht="16.5">
      <c r="A41" s="3" t="s">
        <v>85</v>
      </c>
      <c r="B41" s="4" t="s">
        <v>86</v>
      </c>
      <c r="C41" s="4">
        <v>1</v>
      </c>
      <c r="D41" s="5">
        <v>45947</v>
      </c>
      <c r="E41" s="5">
        <v>45973</v>
      </c>
      <c r="F41" s="7"/>
      <c r="G41" s="8"/>
      <c r="H41" s="4" t="s">
        <v>86</v>
      </c>
      <c r="I41" t="str">
        <f t="shared" si="0"/>
        <v>IW-22372</v>
      </c>
      <c r="J41" s="12">
        <f t="shared" si="1"/>
        <v>45973</v>
      </c>
      <c r="K41" s="13" t="str">
        <f t="shared" si="2"/>
        <v>0</v>
      </c>
      <c r="L41" s="13" cm="1">
        <f t="array" ref="L41">VALUE(_xlfn.IFS(ISERROR(FIND("(",C41,1)),C41,TRUE,MID(C41,FIND("(",C41,1)+1,LEN(C41)-FIND("(",C41,1)-1)))</f>
        <v>1</v>
      </c>
      <c r="N41" t="str">
        <f>_xlfn.LET(_xlpm.count, _xlfn.MAXIFS('DWG NO.ALL'!D:D,'DWG NO.ALL'!B:B,I41), IF(_xlpm.count=L41, "-", _xlpm.count))</f>
        <v>-</v>
      </c>
    </row>
    <row r="42" spans="1:14" ht="16.5">
      <c r="A42" s="3" t="s">
        <v>87</v>
      </c>
      <c r="B42" s="4" t="s">
        <v>88</v>
      </c>
      <c r="C42" s="4">
        <v>1</v>
      </c>
      <c r="D42" s="5">
        <v>45947</v>
      </c>
      <c r="E42" s="5">
        <v>45973</v>
      </c>
      <c r="F42" s="7"/>
      <c r="G42" s="8"/>
      <c r="H42" s="4" t="s">
        <v>88</v>
      </c>
      <c r="I42" t="str">
        <f t="shared" si="0"/>
        <v>IW-22373</v>
      </c>
      <c r="J42" s="12">
        <f t="shared" si="1"/>
        <v>45973</v>
      </c>
      <c r="K42" s="13" t="str">
        <f t="shared" si="2"/>
        <v>0</v>
      </c>
      <c r="L42" s="13" cm="1">
        <f t="array" ref="L42">VALUE(_xlfn.IFS(ISERROR(FIND("(",C42,1)),C42,TRUE,MID(C42,FIND("(",C42,1)+1,LEN(C42)-FIND("(",C42,1)-1)))</f>
        <v>1</v>
      </c>
      <c r="N42" t="str">
        <f>_xlfn.LET(_xlpm.count, _xlfn.MAXIFS('DWG NO.ALL'!D:D,'DWG NO.ALL'!B:B,I42), IF(_xlpm.count=L42, "-", _xlpm.count))</f>
        <v>-</v>
      </c>
    </row>
    <row r="43" spans="1:14" ht="16.5">
      <c r="A43" s="3" t="s">
        <v>89</v>
      </c>
      <c r="B43" s="4" t="s">
        <v>90</v>
      </c>
      <c r="C43" s="4">
        <v>1</v>
      </c>
      <c r="D43" s="5">
        <v>45947</v>
      </c>
      <c r="E43" s="5">
        <v>45973</v>
      </c>
      <c r="F43" s="7"/>
      <c r="G43" s="8"/>
      <c r="H43" s="4" t="s">
        <v>90</v>
      </c>
      <c r="I43" t="str">
        <f t="shared" si="0"/>
        <v>IW-22374</v>
      </c>
      <c r="J43" s="12">
        <f t="shared" si="1"/>
        <v>45973</v>
      </c>
      <c r="K43" s="13" t="str">
        <f t="shared" si="2"/>
        <v>0</v>
      </c>
      <c r="L43" s="13" cm="1">
        <f t="array" ref="L43">VALUE(_xlfn.IFS(ISERROR(FIND("(",C43,1)),C43,TRUE,MID(C43,FIND("(",C43,1)+1,LEN(C43)-FIND("(",C43,1)-1)))</f>
        <v>1</v>
      </c>
      <c r="N43" t="str">
        <f>_xlfn.LET(_xlpm.count, _xlfn.MAXIFS('DWG NO.ALL'!D:D,'DWG NO.ALL'!B:B,I43), IF(_xlpm.count=L43, "-", _xlpm.count))</f>
        <v>-</v>
      </c>
    </row>
    <row r="44" spans="1:14" ht="16.5">
      <c r="A44" s="3" t="s">
        <v>91</v>
      </c>
      <c r="B44" s="4" t="s">
        <v>92</v>
      </c>
      <c r="C44" s="4">
        <v>1</v>
      </c>
      <c r="D44" s="5">
        <v>45947</v>
      </c>
      <c r="E44" s="5">
        <v>45973</v>
      </c>
      <c r="F44" s="7"/>
      <c r="G44" s="8"/>
      <c r="H44" s="4" t="s">
        <v>92</v>
      </c>
      <c r="I44" t="str">
        <f t="shared" si="0"/>
        <v>IW-22375</v>
      </c>
      <c r="J44" s="12">
        <f t="shared" si="1"/>
        <v>45973</v>
      </c>
      <c r="K44" s="13" t="str">
        <f t="shared" si="2"/>
        <v>0</v>
      </c>
      <c r="L44" s="13" cm="1">
        <f t="array" ref="L44">VALUE(_xlfn.IFS(ISERROR(FIND("(",C44,1)),C44,TRUE,MID(C44,FIND("(",C44,1)+1,LEN(C44)-FIND("(",C44,1)-1)))</f>
        <v>1</v>
      </c>
      <c r="N44" t="str">
        <f>_xlfn.LET(_xlpm.count, _xlfn.MAXIFS('DWG NO.ALL'!D:D,'DWG NO.ALL'!B:B,I44), IF(_xlpm.count=L44, "-", _xlpm.count))</f>
        <v>-</v>
      </c>
    </row>
    <row r="45" spans="1:14" ht="16.5">
      <c r="A45" s="3" t="s">
        <v>93</v>
      </c>
      <c r="B45" s="4" t="s">
        <v>94</v>
      </c>
      <c r="C45" s="4">
        <v>1</v>
      </c>
      <c r="D45" s="5">
        <v>45947</v>
      </c>
      <c r="E45" s="5">
        <v>45973</v>
      </c>
      <c r="F45" s="7"/>
      <c r="G45" s="8"/>
      <c r="H45" s="4" t="s">
        <v>94</v>
      </c>
      <c r="I45" t="str">
        <f t="shared" si="0"/>
        <v>IW-22376</v>
      </c>
      <c r="J45" s="12">
        <f t="shared" si="1"/>
        <v>45973</v>
      </c>
      <c r="K45" s="13" t="str">
        <f t="shared" si="2"/>
        <v>0</v>
      </c>
      <c r="L45" s="13" cm="1">
        <f t="array" ref="L45">VALUE(_xlfn.IFS(ISERROR(FIND("(",C45,1)),C45,TRUE,MID(C45,FIND("(",C45,1)+1,LEN(C45)-FIND("(",C45,1)-1)))</f>
        <v>1</v>
      </c>
      <c r="N45" t="str">
        <f>_xlfn.LET(_xlpm.count, _xlfn.MAXIFS('DWG NO.ALL'!D:D,'DWG NO.ALL'!B:B,I45), IF(_xlpm.count=L45, "-", _xlpm.count))</f>
        <v>-</v>
      </c>
    </row>
    <row r="46" spans="1:14" ht="16.5">
      <c r="A46" s="3" t="s">
        <v>95</v>
      </c>
      <c r="B46" s="4" t="s">
        <v>96</v>
      </c>
      <c r="C46" s="4">
        <v>1</v>
      </c>
      <c r="D46" s="5">
        <v>45947</v>
      </c>
      <c r="E46" s="5">
        <v>45973</v>
      </c>
      <c r="F46" s="7"/>
      <c r="G46" s="8"/>
      <c r="H46" s="4" t="s">
        <v>96</v>
      </c>
      <c r="I46" t="str">
        <f t="shared" si="0"/>
        <v>IW-22377</v>
      </c>
      <c r="J46" s="12">
        <f t="shared" si="1"/>
        <v>45973</v>
      </c>
      <c r="K46" s="13" t="str">
        <f t="shared" si="2"/>
        <v>0</v>
      </c>
      <c r="L46" s="13" cm="1">
        <f t="array" ref="L46">VALUE(_xlfn.IFS(ISERROR(FIND("(",C46,1)),C46,TRUE,MID(C46,FIND("(",C46,1)+1,LEN(C46)-FIND("(",C46,1)-1)))</f>
        <v>1</v>
      </c>
      <c r="N46" t="str">
        <f>_xlfn.LET(_xlpm.count, _xlfn.MAXIFS('DWG NO.ALL'!D:D,'DWG NO.ALL'!B:B,I46), IF(_xlpm.count=L46, "-", _xlpm.count))</f>
        <v>-</v>
      </c>
    </row>
    <row r="47" spans="1:14" ht="16.5">
      <c r="A47" s="3" t="s">
        <v>97</v>
      </c>
      <c r="B47" s="4" t="s">
        <v>98</v>
      </c>
      <c r="C47" s="4">
        <v>1</v>
      </c>
      <c r="D47" s="5">
        <v>45947</v>
      </c>
      <c r="E47" s="5">
        <v>45973</v>
      </c>
      <c r="F47" s="7"/>
      <c r="G47" s="8"/>
      <c r="H47" s="4" t="s">
        <v>98</v>
      </c>
      <c r="I47" t="str">
        <f t="shared" si="0"/>
        <v>IW-22378</v>
      </c>
      <c r="J47" s="12">
        <f t="shared" si="1"/>
        <v>45973</v>
      </c>
      <c r="K47" s="13" t="str">
        <f t="shared" si="2"/>
        <v>0</v>
      </c>
      <c r="L47" s="13" cm="1">
        <f t="array" ref="L47">VALUE(_xlfn.IFS(ISERROR(FIND("(",C47,1)),C47,TRUE,MID(C47,FIND("(",C47,1)+1,LEN(C47)-FIND("(",C47,1)-1)))</f>
        <v>1</v>
      </c>
      <c r="N47" t="str">
        <f>_xlfn.LET(_xlpm.count, _xlfn.MAXIFS('DWG NO.ALL'!D:D,'DWG NO.ALL'!B:B,I47), IF(_xlpm.count=L47, "-", _xlpm.count))</f>
        <v>-</v>
      </c>
    </row>
    <row r="48" spans="1:14" ht="16.5">
      <c r="A48" s="3" t="s">
        <v>99</v>
      </c>
      <c r="B48" s="4" t="s">
        <v>100</v>
      </c>
      <c r="C48" s="4">
        <v>1</v>
      </c>
      <c r="D48" s="5">
        <v>45947</v>
      </c>
      <c r="E48" s="5">
        <v>45973</v>
      </c>
      <c r="F48" s="7"/>
      <c r="G48" s="8"/>
      <c r="H48" s="4" t="s">
        <v>100</v>
      </c>
      <c r="I48" t="str">
        <f t="shared" si="0"/>
        <v>LC-22101</v>
      </c>
      <c r="J48" s="12">
        <f t="shared" si="1"/>
        <v>45973</v>
      </c>
      <c r="K48" s="13" t="str">
        <f t="shared" si="2"/>
        <v>0</v>
      </c>
      <c r="L48" s="13" cm="1">
        <f t="array" ref="L48">VALUE(_xlfn.IFS(ISERROR(FIND("(",C48,1)),C48,TRUE,MID(C48,FIND("(",C48,1)+1,LEN(C48)-FIND("(",C48,1)-1)))</f>
        <v>1</v>
      </c>
      <c r="N48" t="str">
        <f>_xlfn.LET(_xlpm.count, _xlfn.MAXIFS('DWG NO.ALL'!D:D,'DWG NO.ALL'!B:B,I48), IF(_xlpm.count=L48, "-", _xlpm.count))</f>
        <v>-</v>
      </c>
    </row>
    <row r="49" spans="1:14" ht="16.5">
      <c r="A49" s="3" t="s">
        <v>101</v>
      </c>
      <c r="B49" s="4" t="s">
        <v>102</v>
      </c>
      <c r="C49" s="4">
        <v>2</v>
      </c>
      <c r="D49" s="5">
        <v>45947</v>
      </c>
      <c r="E49" s="5">
        <v>45973</v>
      </c>
      <c r="F49" s="7"/>
      <c r="G49" s="8"/>
      <c r="H49" s="4" t="s">
        <v>102</v>
      </c>
      <c r="I49" t="str">
        <f t="shared" si="0"/>
        <v>LC-22102</v>
      </c>
      <c r="J49" s="12">
        <f t="shared" si="1"/>
        <v>45973</v>
      </c>
      <c r="K49" s="13" t="str">
        <f t="shared" si="2"/>
        <v>0</v>
      </c>
      <c r="L49" s="13" cm="1">
        <f t="array" ref="L49">VALUE(_xlfn.IFS(ISERROR(FIND("(",C49,1)),C49,TRUE,MID(C49,FIND("(",C49,1)+1,LEN(C49)-FIND("(",C49,1)-1)))</f>
        <v>2</v>
      </c>
      <c r="N49" t="str">
        <f>_xlfn.LET(_xlpm.count, _xlfn.MAXIFS('DWG NO.ALL'!D:D,'DWG NO.ALL'!B:B,I49), IF(_xlpm.count=L49, "-", _xlpm.count))</f>
        <v>-</v>
      </c>
    </row>
    <row r="50" spans="1:14" ht="16.5">
      <c r="A50" s="3" t="s">
        <v>103</v>
      </c>
      <c r="B50" s="4" t="s">
        <v>104</v>
      </c>
      <c r="C50" s="4">
        <v>1</v>
      </c>
      <c r="D50" s="5">
        <v>45947</v>
      </c>
      <c r="E50" s="5">
        <v>45973</v>
      </c>
      <c r="F50" s="7"/>
      <c r="G50" s="8"/>
      <c r="H50" s="4" t="s">
        <v>104</v>
      </c>
      <c r="I50" t="str">
        <f t="shared" si="0"/>
        <v>LC-22201</v>
      </c>
      <c r="J50" s="12">
        <f t="shared" si="1"/>
        <v>45973</v>
      </c>
      <c r="K50" s="13" t="str">
        <f t="shared" si="2"/>
        <v>0</v>
      </c>
      <c r="L50" s="13" cm="1">
        <f t="array" ref="L50">VALUE(_xlfn.IFS(ISERROR(FIND("(",C50,1)),C50,TRUE,MID(C50,FIND("(",C50,1)+1,LEN(C50)-FIND("(",C50,1)-1)))</f>
        <v>1</v>
      </c>
      <c r="N50" t="str">
        <f>_xlfn.LET(_xlpm.count, _xlfn.MAXIFS('DWG NO.ALL'!D:D,'DWG NO.ALL'!B:B,I50), IF(_xlpm.count=L50, "-", _xlpm.count))</f>
        <v>-</v>
      </c>
    </row>
    <row r="51" spans="1:14" ht="16.5">
      <c r="A51" s="3" t="s">
        <v>105</v>
      </c>
      <c r="B51" s="4" t="s">
        <v>106</v>
      </c>
      <c r="C51" s="4">
        <v>2</v>
      </c>
      <c r="D51" s="5">
        <v>45947</v>
      </c>
      <c r="E51" s="5">
        <v>45973</v>
      </c>
      <c r="F51" s="9">
        <v>45989</v>
      </c>
      <c r="G51" s="8"/>
      <c r="H51" s="4" t="s">
        <v>106</v>
      </c>
      <c r="I51" t="str">
        <f t="shared" si="0"/>
        <v>LC-22202</v>
      </c>
      <c r="J51" s="12">
        <f t="shared" si="1"/>
        <v>45989</v>
      </c>
      <c r="K51" s="13" t="str">
        <f t="shared" si="2"/>
        <v>1</v>
      </c>
      <c r="L51" s="13" cm="1">
        <f t="array" ref="L51">VALUE(_xlfn.IFS(ISERROR(FIND("(",C51,1)),C51,TRUE,MID(C51,FIND("(",C51,1)+1,LEN(C51)-FIND("(",C51,1)-1)))</f>
        <v>2</v>
      </c>
      <c r="N51" t="str">
        <f>_xlfn.LET(_xlpm.count, _xlfn.MAXIFS('DWG NO.ALL'!D:D,'DWG NO.ALL'!B:B,I51), IF(_xlpm.count=L51, "-", _xlpm.count))</f>
        <v>-</v>
      </c>
    </row>
    <row r="52" spans="1:14" ht="16.5">
      <c r="A52" s="3" t="s">
        <v>107</v>
      </c>
      <c r="B52" s="4" t="s">
        <v>108</v>
      </c>
      <c r="C52" s="4">
        <v>2</v>
      </c>
      <c r="D52" s="5">
        <v>45947</v>
      </c>
      <c r="E52" s="5">
        <v>45973</v>
      </c>
      <c r="F52" s="9">
        <v>45989</v>
      </c>
      <c r="G52" s="8"/>
      <c r="H52" s="4" t="s">
        <v>108</v>
      </c>
      <c r="I52" t="str">
        <f t="shared" si="0"/>
        <v>LC-22341</v>
      </c>
      <c r="J52" s="12">
        <f t="shared" si="1"/>
        <v>45989</v>
      </c>
      <c r="K52" s="13" t="str">
        <f t="shared" si="2"/>
        <v>1</v>
      </c>
      <c r="L52" s="13" cm="1">
        <f t="array" ref="L52">VALUE(_xlfn.IFS(ISERROR(FIND("(",C52,1)),C52,TRUE,MID(C52,FIND("(",C52,1)+1,LEN(C52)-FIND("(",C52,1)-1)))</f>
        <v>2</v>
      </c>
      <c r="N52" t="str">
        <f>_xlfn.LET(_xlpm.count, _xlfn.MAXIFS('DWG NO.ALL'!D:D,'DWG NO.ALL'!B:B,I52), IF(_xlpm.count=L52, "-", _xlpm.count))</f>
        <v>-</v>
      </c>
    </row>
    <row r="53" spans="1:14" ht="16.5">
      <c r="A53" s="3" t="s">
        <v>109</v>
      </c>
      <c r="B53" s="4" t="s">
        <v>110</v>
      </c>
      <c r="C53" s="4">
        <v>1</v>
      </c>
      <c r="D53" s="5">
        <v>45947</v>
      </c>
      <c r="E53" s="5">
        <v>45973</v>
      </c>
      <c r="F53" s="5"/>
      <c r="G53" s="8"/>
      <c r="H53" s="4" t="s">
        <v>110</v>
      </c>
      <c r="I53" t="str">
        <f t="shared" si="0"/>
        <v>MC-22341</v>
      </c>
      <c r="J53" s="12">
        <f t="shared" si="1"/>
        <v>45973</v>
      </c>
      <c r="K53" s="13" t="str">
        <f t="shared" si="2"/>
        <v>0</v>
      </c>
      <c r="L53" s="13" cm="1">
        <f t="array" ref="L53">VALUE(_xlfn.IFS(ISERROR(FIND("(",C53,1)),C53,TRUE,MID(C53,FIND("(",C53,1)+1,LEN(C53)-FIND("(",C53,1)-1)))</f>
        <v>1</v>
      </c>
      <c r="N53" t="str">
        <f>_xlfn.LET(_xlpm.count, _xlfn.MAXIFS('DWG NO.ALL'!D:D,'DWG NO.ALL'!B:B,I53), IF(_xlpm.count=L53, "-", _xlpm.count))</f>
        <v>-</v>
      </c>
    </row>
    <row r="54" spans="1:14" ht="16.5">
      <c r="A54" s="3" t="s">
        <v>111</v>
      </c>
      <c r="B54" s="4" t="s">
        <v>112</v>
      </c>
      <c r="C54" s="4">
        <v>2</v>
      </c>
      <c r="D54" s="5">
        <v>45947</v>
      </c>
      <c r="E54" s="5">
        <v>45973</v>
      </c>
      <c r="F54" s="7"/>
      <c r="G54" s="8"/>
      <c r="H54" s="4" t="s">
        <v>112</v>
      </c>
      <c r="I54" t="str">
        <f t="shared" si="0"/>
        <v>MC-22342</v>
      </c>
      <c r="J54" s="12">
        <f t="shared" si="1"/>
        <v>45973</v>
      </c>
      <c r="K54" s="13" t="str">
        <f t="shared" si="2"/>
        <v>0</v>
      </c>
      <c r="L54" s="13" cm="1">
        <f t="array" ref="L54">VALUE(_xlfn.IFS(ISERROR(FIND("(",C54,1)),C54,TRUE,MID(C54,FIND("(",C54,1)+1,LEN(C54)-FIND("(",C54,1)-1)))</f>
        <v>2</v>
      </c>
      <c r="N54" t="str">
        <f>_xlfn.LET(_xlpm.count, _xlfn.MAXIFS('DWG NO.ALL'!D:D,'DWG NO.ALL'!B:B,I54), IF(_xlpm.count=L54, "-", _xlpm.count))</f>
        <v>-</v>
      </c>
    </row>
    <row r="55" spans="1:14" ht="16.5">
      <c r="A55" s="3" t="s">
        <v>113</v>
      </c>
      <c r="B55" s="4" t="s">
        <v>114</v>
      </c>
      <c r="C55" s="4">
        <v>6</v>
      </c>
      <c r="D55" s="5">
        <v>45947</v>
      </c>
      <c r="E55" s="5">
        <v>45973</v>
      </c>
      <c r="F55" s="7"/>
      <c r="G55" s="8"/>
      <c r="H55" s="4" t="s">
        <v>114</v>
      </c>
      <c r="I55" t="str">
        <f t="shared" si="0"/>
        <v>MS-22101</v>
      </c>
      <c r="J55" s="12">
        <f t="shared" si="1"/>
        <v>45973</v>
      </c>
      <c r="K55" s="13" t="str">
        <f t="shared" si="2"/>
        <v>0</v>
      </c>
      <c r="L55" s="13" cm="1">
        <f t="array" ref="L55">VALUE(_xlfn.IFS(ISERROR(FIND("(",C55,1)),C55,TRUE,MID(C55,FIND("(",C55,1)+1,LEN(C55)-FIND("(",C55,1)-1)))</f>
        <v>6</v>
      </c>
      <c r="N55" t="str">
        <f>_xlfn.LET(_xlpm.count, _xlfn.MAXIFS('DWG NO.ALL'!D:D,'DWG NO.ALL'!B:B,I55), IF(_xlpm.count=L55, "-", _xlpm.count))</f>
        <v>-</v>
      </c>
    </row>
    <row r="56" spans="1:14" ht="16.5">
      <c r="A56" s="3" t="s">
        <v>115</v>
      </c>
      <c r="B56" s="4" t="s">
        <v>116</v>
      </c>
      <c r="C56" s="4">
        <v>4</v>
      </c>
      <c r="D56" s="5">
        <v>45947</v>
      </c>
      <c r="E56" s="5">
        <v>45973</v>
      </c>
      <c r="F56" s="7"/>
      <c r="G56" s="8"/>
      <c r="H56" s="4" t="s">
        <v>116</v>
      </c>
      <c r="I56" t="str">
        <f t="shared" si="0"/>
        <v>MS-22201</v>
      </c>
      <c r="J56" s="12">
        <f t="shared" si="1"/>
        <v>45973</v>
      </c>
      <c r="K56" s="13" t="str">
        <f t="shared" si="2"/>
        <v>0</v>
      </c>
      <c r="L56" s="13" cm="1">
        <f t="array" ref="L56">VALUE(_xlfn.IFS(ISERROR(FIND("(",C56,1)),C56,TRUE,MID(C56,FIND("(",C56,1)+1,LEN(C56)-FIND("(",C56,1)-1)))</f>
        <v>4</v>
      </c>
      <c r="N56" t="str">
        <f>_xlfn.LET(_xlpm.count, _xlfn.MAXIFS('DWG NO.ALL'!D:D,'DWG NO.ALL'!B:B,I56), IF(_xlpm.count=L56, "-", _xlpm.count))</f>
        <v>-</v>
      </c>
    </row>
    <row r="57" spans="1:14" ht="16.5">
      <c r="A57" s="3" t="s">
        <v>117</v>
      </c>
      <c r="B57" s="4" t="s">
        <v>118</v>
      </c>
      <c r="C57" s="4">
        <v>4</v>
      </c>
      <c r="D57" s="5">
        <v>45947</v>
      </c>
      <c r="E57" s="5">
        <v>45973</v>
      </c>
      <c r="F57" s="7"/>
      <c r="G57" s="8"/>
      <c r="H57" s="4" t="s">
        <v>118</v>
      </c>
      <c r="I57" t="str">
        <f t="shared" si="0"/>
        <v>MS-22341</v>
      </c>
      <c r="J57" s="12">
        <f t="shared" si="1"/>
        <v>45973</v>
      </c>
      <c r="K57" s="13" t="str">
        <f t="shared" si="2"/>
        <v>0</v>
      </c>
      <c r="L57" s="13" cm="1">
        <f t="array" ref="L57">VALUE(_xlfn.IFS(ISERROR(FIND("(",C57,1)),C57,TRUE,MID(C57,FIND("(",C57,1)+1,LEN(C57)-FIND("(",C57,1)-1)))</f>
        <v>4</v>
      </c>
      <c r="N57" t="str">
        <f>_xlfn.LET(_xlpm.count, _xlfn.MAXIFS('DWG NO.ALL'!D:D,'DWG NO.ALL'!B:B,I57), IF(_xlpm.count=L57, "-", _xlpm.count))</f>
        <v>-</v>
      </c>
    </row>
    <row r="58" spans="1:14" ht="16.5">
      <c r="A58" s="3" t="s">
        <v>119</v>
      </c>
      <c r="B58" s="4" t="s">
        <v>120</v>
      </c>
      <c r="C58" s="4">
        <v>2</v>
      </c>
      <c r="D58" s="5">
        <v>45947</v>
      </c>
      <c r="E58" s="5">
        <v>45973</v>
      </c>
      <c r="F58" s="7"/>
      <c r="G58" s="8"/>
      <c r="H58" s="4" t="s">
        <v>120</v>
      </c>
      <c r="I58" t="str">
        <f t="shared" si="0"/>
        <v>NI-22101</v>
      </c>
      <c r="J58" s="12">
        <f t="shared" si="1"/>
        <v>45973</v>
      </c>
      <c r="K58" s="13" t="str">
        <f t="shared" si="2"/>
        <v>0</v>
      </c>
      <c r="L58" s="13" cm="1">
        <f t="array" ref="L58">VALUE(_xlfn.IFS(ISERROR(FIND("(",C58,1)),C58,TRUE,MID(C58,FIND("(",C58,1)+1,LEN(C58)-FIND("(",C58,1)-1)))</f>
        <v>2</v>
      </c>
      <c r="N58" t="str">
        <f>_xlfn.LET(_xlpm.count, _xlfn.MAXIFS('DWG NO.ALL'!D:D,'DWG NO.ALL'!B:B,I58), IF(_xlpm.count=L58, "-", _xlpm.count))</f>
        <v>-</v>
      </c>
    </row>
    <row r="59" spans="1:14" ht="16.5">
      <c r="A59" s="3" t="s">
        <v>121</v>
      </c>
      <c r="B59" s="4" t="s">
        <v>122</v>
      </c>
      <c r="C59" s="4">
        <v>2</v>
      </c>
      <c r="D59" s="5">
        <v>45947</v>
      </c>
      <c r="E59" s="5">
        <v>45973</v>
      </c>
      <c r="F59" s="7"/>
      <c r="G59" s="8"/>
      <c r="H59" s="4" t="s">
        <v>122</v>
      </c>
      <c r="I59" t="str">
        <f t="shared" si="0"/>
        <v>NI-22311</v>
      </c>
      <c r="J59" s="12">
        <f t="shared" si="1"/>
        <v>45973</v>
      </c>
      <c r="K59" s="13" t="str">
        <f t="shared" si="2"/>
        <v>0</v>
      </c>
      <c r="L59" s="13" cm="1">
        <f t="array" ref="L59">VALUE(_xlfn.IFS(ISERROR(FIND("(",C59,1)),C59,TRUE,MID(C59,FIND("(",C59,1)+1,LEN(C59)-FIND("(",C59,1)-1)))</f>
        <v>2</v>
      </c>
      <c r="N59" t="str">
        <f>_xlfn.LET(_xlpm.count, _xlfn.MAXIFS('DWG NO.ALL'!D:D,'DWG NO.ALL'!B:B,I59), IF(_xlpm.count=L59, "-", _xlpm.count))</f>
        <v>-</v>
      </c>
    </row>
    <row r="60" spans="1:14" ht="16.5">
      <c r="A60" s="3" t="s">
        <v>123</v>
      </c>
      <c r="B60" s="4" t="s">
        <v>124</v>
      </c>
      <c r="C60" s="4">
        <v>2</v>
      </c>
      <c r="D60" s="5">
        <v>45947</v>
      </c>
      <c r="E60" s="5">
        <v>45973</v>
      </c>
      <c r="F60" s="7"/>
      <c r="G60" s="8"/>
      <c r="H60" s="4" t="s">
        <v>124</v>
      </c>
      <c r="I60" t="str">
        <f t="shared" si="0"/>
        <v>NI-22361</v>
      </c>
      <c r="J60" s="12">
        <f t="shared" si="1"/>
        <v>45973</v>
      </c>
      <c r="K60" s="13" t="str">
        <f t="shared" si="2"/>
        <v>0</v>
      </c>
      <c r="L60" s="13" cm="1">
        <f t="array" ref="L60">VALUE(_xlfn.IFS(ISERROR(FIND("(",C60,1)),C60,TRUE,MID(C60,FIND("(",C60,1)+1,LEN(C60)-FIND("(",C60,1)-1)))</f>
        <v>2</v>
      </c>
      <c r="N60" t="str">
        <f>_xlfn.LET(_xlpm.count, _xlfn.MAXIFS('DWG NO.ALL'!D:D,'DWG NO.ALL'!B:B,I60), IF(_xlpm.count=L60, "-", _xlpm.count))</f>
        <v>-</v>
      </c>
    </row>
    <row r="61" spans="1:14" ht="16.5">
      <c r="A61" s="3" t="s">
        <v>125</v>
      </c>
      <c r="B61" s="4" t="s">
        <v>126</v>
      </c>
      <c r="C61" s="4">
        <v>3</v>
      </c>
      <c r="D61" s="5">
        <v>45947</v>
      </c>
      <c r="E61" s="5">
        <v>45973</v>
      </c>
      <c r="F61" s="7"/>
      <c r="G61" s="8"/>
      <c r="H61" s="4" t="s">
        <v>126</v>
      </c>
      <c r="I61" t="str">
        <f t="shared" si="0"/>
        <v>NI-22362</v>
      </c>
      <c r="J61" s="12">
        <f t="shared" si="1"/>
        <v>45973</v>
      </c>
      <c r="K61" s="13" t="str">
        <f t="shared" si="2"/>
        <v>0</v>
      </c>
      <c r="L61" s="13" cm="1">
        <f t="array" ref="L61">VALUE(_xlfn.IFS(ISERROR(FIND("(",C61,1)),C61,TRUE,MID(C61,FIND("(",C61,1)+1,LEN(C61)-FIND("(",C61,1)-1)))</f>
        <v>3</v>
      </c>
      <c r="N61" t="str">
        <f>_xlfn.LET(_xlpm.count, _xlfn.MAXIFS('DWG NO.ALL'!D:D,'DWG NO.ALL'!B:B,I61), IF(_xlpm.count=L61, "-", _xlpm.count))</f>
        <v>-</v>
      </c>
    </row>
    <row r="62" spans="1:14" ht="16.5">
      <c r="A62" s="3" t="s">
        <v>127</v>
      </c>
      <c r="B62" s="4" t="s">
        <v>128</v>
      </c>
      <c r="C62" s="4">
        <v>1</v>
      </c>
      <c r="D62" s="5">
        <v>45947</v>
      </c>
      <c r="E62" s="5">
        <v>45973</v>
      </c>
      <c r="F62" s="7"/>
      <c r="G62" s="8"/>
      <c r="H62" s="4" t="s">
        <v>128</v>
      </c>
      <c r="I62" t="str">
        <f t="shared" si="0"/>
        <v>NI-22364</v>
      </c>
      <c r="J62" s="12">
        <f t="shared" si="1"/>
        <v>45973</v>
      </c>
      <c r="K62" s="13" t="str">
        <f t="shared" si="2"/>
        <v>0</v>
      </c>
      <c r="L62" s="13" cm="1">
        <f t="array" ref="L62">VALUE(_xlfn.IFS(ISERROR(FIND("(",C62,1)),C62,TRUE,MID(C62,FIND("(",C62,1)+1,LEN(C62)-FIND("(",C62,1)-1)))</f>
        <v>1</v>
      </c>
      <c r="N62" t="str">
        <f>_xlfn.LET(_xlpm.count, _xlfn.MAXIFS('DWG NO.ALL'!D:D,'DWG NO.ALL'!B:B,I62), IF(_xlpm.count=L62, "-", _xlpm.count))</f>
        <v>-</v>
      </c>
    </row>
    <row r="63" spans="1:14" ht="16.5">
      <c r="A63" s="3" t="s">
        <v>129</v>
      </c>
      <c r="B63" s="4" t="s">
        <v>130</v>
      </c>
      <c r="C63" s="4">
        <v>1</v>
      </c>
      <c r="D63" s="5">
        <v>45947</v>
      </c>
      <c r="E63" s="5">
        <v>45973</v>
      </c>
      <c r="F63" s="7"/>
      <c r="G63" s="8"/>
      <c r="H63" s="4" t="s">
        <v>130</v>
      </c>
      <c r="I63" t="str">
        <f t="shared" si="0"/>
        <v>NI-22365</v>
      </c>
      <c r="J63" s="12">
        <f t="shared" si="1"/>
        <v>45973</v>
      </c>
      <c r="K63" s="13" t="str">
        <f t="shared" si="2"/>
        <v>0</v>
      </c>
      <c r="L63" s="13" cm="1">
        <f t="array" ref="L63">VALUE(_xlfn.IFS(ISERROR(FIND("(",C63,1)),C63,TRUE,MID(C63,FIND("(",C63,1)+1,LEN(C63)-FIND("(",C63,1)-1)))</f>
        <v>1</v>
      </c>
      <c r="N63" t="str">
        <f>_xlfn.LET(_xlpm.count, _xlfn.MAXIFS('DWG NO.ALL'!D:D,'DWG NO.ALL'!B:B,I63), IF(_xlpm.count=L63, "-", _xlpm.count))</f>
        <v>-</v>
      </c>
    </row>
    <row r="64" spans="1:14" ht="16.5">
      <c r="A64" s="3" t="s">
        <v>131</v>
      </c>
      <c r="B64" s="4" t="s">
        <v>132</v>
      </c>
      <c r="C64" s="4">
        <v>1</v>
      </c>
      <c r="D64" s="5">
        <v>45947</v>
      </c>
      <c r="E64" s="5">
        <v>45973</v>
      </c>
      <c r="F64" s="7"/>
      <c r="G64" s="8"/>
      <c r="H64" s="4" t="s">
        <v>132</v>
      </c>
      <c r="I64" t="str">
        <f t="shared" si="0"/>
        <v>NI-22366</v>
      </c>
      <c r="J64" s="12">
        <f t="shared" si="1"/>
        <v>45973</v>
      </c>
      <c r="K64" s="13" t="str">
        <f t="shared" si="2"/>
        <v>0</v>
      </c>
      <c r="L64" s="13" cm="1">
        <f t="array" ref="L64">VALUE(_xlfn.IFS(ISERROR(FIND("(",C64,1)),C64,TRUE,MID(C64,FIND("(",C64,1)+1,LEN(C64)-FIND("(",C64,1)-1)))</f>
        <v>1</v>
      </c>
      <c r="N64" t="str">
        <f>_xlfn.LET(_xlpm.count, _xlfn.MAXIFS('DWG NO.ALL'!D:D,'DWG NO.ALL'!B:B,I64), IF(_xlpm.count=L64, "-", _xlpm.count))</f>
        <v>-</v>
      </c>
    </row>
    <row r="65" spans="1:14" ht="16.5">
      <c r="A65" s="3" t="s">
        <v>133</v>
      </c>
      <c r="B65" s="4" t="s">
        <v>134</v>
      </c>
      <c r="C65" s="4">
        <v>1</v>
      </c>
      <c r="D65" s="5">
        <v>45947</v>
      </c>
      <c r="E65" s="5">
        <v>45973</v>
      </c>
      <c r="F65" s="7"/>
      <c r="G65" s="8"/>
      <c r="H65" s="4" t="s">
        <v>134</v>
      </c>
      <c r="I65" t="str">
        <f t="shared" si="0"/>
        <v>NI-22367</v>
      </c>
      <c r="J65" s="12">
        <f t="shared" si="1"/>
        <v>45973</v>
      </c>
      <c r="K65" s="13" t="str">
        <f t="shared" si="2"/>
        <v>0</v>
      </c>
      <c r="L65" s="13" cm="1">
        <f t="array" ref="L65">VALUE(_xlfn.IFS(ISERROR(FIND("(",C65,1)),C65,TRUE,MID(C65,FIND("(",C65,1)+1,LEN(C65)-FIND("(",C65,1)-1)))</f>
        <v>1</v>
      </c>
      <c r="N65" t="str">
        <f>_xlfn.LET(_xlpm.count, _xlfn.MAXIFS('DWG NO.ALL'!D:D,'DWG NO.ALL'!B:B,I65), IF(_xlpm.count=L65, "-", _xlpm.count))</f>
        <v>-</v>
      </c>
    </row>
    <row r="66" spans="1:14" ht="16.5">
      <c r="A66" s="3" t="s">
        <v>135</v>
      </c>
      <c r="B66" s="4" t="s">
        <v>136</v>
      </c>
      <c r="C66" s="4">
        <v>1</v>
      </c>
      <c r="D66" s="5">
        <v>45947</v>
      </c>
      <c r="E66" s="5">
        <v>45973</v>
      </c>
      <c r="F66" s="7"/>
      <c r="G66" s="8"/>
      <c r="H66" s="4" t="s">
        <v>136</v>
      </c>
      <c r="I66" t="str">
        <f t="shared" si="0"/>
        <v>NI-22368</v>
      </c>
      <c r="J66" s="12">
        <f t="shared" si="1"/>
        <v>45973</v>
      </c>
      <c r="K66" s="13" t="str">
        <f t="shared" si="2"/>
        <v>0</v>
      </c>
      <c r="L66" s="13" cm="1">
        <f t="array" ref="L66">VALUE(_xlfn.IFS(ISERROR(FIND("(",C66,1)),C66,TRUE,MID(C66,FIND("(",C66,1)+1,LEN(C66)-FIND("(",C66,1)-1)))</f>
        <v>1</v>
      </c>
      <c r="N66" t="str">
        <f>_xlfn.LET(_xlpm.count, _xlfn.MAXIFS('DWG NO.ALL'!D:D,'DWG NO.ALL'!B:B,I66), IF(_xlpm.count=L66, "-", _xlpm.count))</f>
        <v>-</v>
      </c>
    </row>
    <row r="67" spans="1:14" ht="16.5">
      <c r="A67" s="3" t="s">
        <v>137</v>
      </c>
      <c r="B67" s="4" t="s">
        <v>138</v>
      </c>
      <c r="C67" s="4">
        <v>1</v>
      </c>
      <c r="D67" s="5">
        <v>45947</v>
      </c>
      <c r="E67" s="5">
        <v>45973</v>
      </c>
      <c r="F67" s="7"/>
      <c r="G67" s="8"/>
      <c r="H67" s="4" t="s">
        <v>138</v>
      </c>
      <c r="I67" t="str">
        <f t="shared" ref="I67:I130" si="3">_xlfn.LET(_xlpm.pos,IF(ISNUMBER(FIND("TRIM",B67)), 3, 2), _xlfn.TEXTBEFORE(B67, "-", _xlpm.pos))</f>
        <v>NI-22369</v>
      </c>
      <c r="J67" s="12">
        <f t="shared" ref="J67:J130" si="4">_xlfn.XLOOKUP("*",D67:F67,D67:F67,"",-1)</f>
        <v>45973</v>
      </c>
      <c r="K67" s="13" t="str">
        <f t="shared" ref="K67:K130" si="5">_xlfn.TEXTAFTER(_xlfn.XLOOKUP(J67,67:67,$1:$1), ".")</f>
        <v>0</v>
      </c>
      <c r="L67" s="13" cm="1">
        <f t="array" ref="L67">VALUE(_xlfn.IFS(ISERROR(FIND("(",C67,1)),C67,TRUE,MID(C67,FIND("(",C67,1)+1,LEN(C67)-FIND("(",C67,1)-1)))</f>
        <v>1</v>
      </c>
      <c r="N67" t="str">
        <f>_xlfn.LET(_xlpm.count, _xlfn.MAXIFS('DWG NO.ALL'!D:D,'DWG NO.ALL'!B:B,I67), IF(_xlpm.count=L67, "-", _xlpm.count))</f>
        <v>-</v>
      </c>
    </row>
    <row r="68" spans="1:14" ht="16.5">
      <c r="A68" s="3" t="s">
        <v>139</v>
      </c>
      <c r="B68" s="4" t="s">
        <v>140</v>
      </c>
      <c r="C68" s="4">
        <v>1</v>
      </c>
      <c r="D68" s="5">
        <v>45947</v>
      </c>
      <c r="E68" s="5">
        <v>45973</v>
      </c>
      <c r="F68" s="7"/>
      <c r="G68" s="8"/>
      <c r="H68" s="4" t="s">
        <v>140</v>
      </c>
      <c r="I68" t="str">
        <f t="shared" si="3"/>
        <v>NI-22370</v>
      </c>
      <c r="J68" s="12">
        <f t="shared" si="4"/>
        <v>45973</v>
      </c>
      <c r="K68" s="13" t="str">
        <f t="shared" si="5"/>
        <v>0</v>
      </c>
      <c r="L68" s="13" cm="1">
        <f t="array" ref="L68">VALUE(_xlfn.IFS(ISERROR(FIND("(",C68,1)),C68,TRUE,MID(C68,FIND("(",C68,1)+1,LEN(C68)-FIND("(",C68,1)-1)))</f>
        <v>1</v>
      </c>
      <c r="N68" t="str">
        <f>_xlfn.LET(_xlpm.count, _xlfn.MAXIFS('DWG NO.ALL'!D:D,'DWG NO.ALL'!B:B,I68), IF(_xlpm.count=L68, "-", _xlpm.count))</f>
        <v>-</v>
      </c>
    </row>
    <row r="69" spans="1:14" ht="16.5">
      <c r="A69" s="3" t="s">
        <v>141</v>
      </c>
      <c r="B69" s="4" t="s">
        <v>142</v>
      </c>
      <c r="C69" s="4">
        <v>7</v>
      </c>
      <c r="D69" s="5">
        <v>45947</v>
      </c>
      <c r="E69" s="5">
        <v>45973</v>
      </c>
      <c r="F69" s="7"/>
      <c r="G69" s="8"/>
      <c r="H69" s="4" t="s">
        <v>142</v>
      </c>
      <c r="I69" t="str">
        <f t="shared" si="3"/>
        <v>P-22101</v>
      </c>
      <c r="J69" s="12">
        <f t="shared" si="4"/>
        <v>45973</v>
      </c>
      <c r="K69" s="13" t="str">
        <f t="shared" si="5"/>
        <v>0</v>
      </c>
      <c r="L69" s="13" cm="1">
        <f t="array" ref="L69">VALUE(_xlfn.IFS(ISERROR(FIND("(",C69,1)),C69,TRUE,MID(C69,FIND("(",C69,1)+1,LEN(C69)-FIND("(",C69,1)-1)))</f>
        <v>7</v>
      </c>
      <c r="N69" t="str">
        <f>_xlfn.LET(_xlpm.count, _xlfn.MAXIFS('DWG NO.ALL'!D:D,'DWG NO.ALL'!B:B,I69), IF(_xlpm.count=L69, "-", _xlpm.count))</f>
        <v>-</v>
      </c>
    </row>
    <row r="70" spans="1:14" ht="16.5">
      <c r="A70" s="3" t="s">
        <v>143</v>
      </c>
      <c r="B70" s="4" t="s">
        <v>144</v>
      </c>
      <c r="C70" s="4">
        <v>1</v>
      </c>
      <c r="D70" s="5">
        <v>45947</v>
      </c>
      <c r="E70" s="5">
        <v>45973</v>
      </c>
      <c r="F70" s="7"/>
      <c r="G70" s="8"/>
      <c r="H70" s="4" t="s">
        <v>144</v>
      </c>
      <c r="I70" t="str">
        <f t="shared" si="3"/>
        <v>P-22102</v>
      </c>
      <c r="J70" s="12">
        <f t="shared" si="4"/>
        <v>45973</v>
      </c>
      <c r="K70" s="13" t="str">
        <f t="shared" si="5"/>
        <v>0</v>
      </c>
      <c r="L70" s="13" cm="1">
        <f t="array" ref="L70">VALUE(_xlfn.IFS(ISERROR(FIND("(",C70,1)),C70,TRUE,MID(C70,FIND("(",C70,1)+1,LEN(C70)-FIND("(",C70,1)-1)))</f>
        <v>1</v>
      </c>
      <c r="N70" t="str">
        <f>_xlfn.LET(_xlpm.count, _xlfn.MAXIFS('DWG NO.ALL'!D:D,'DWG NO.ALL'!B:B,I70), IF(_xlpm.count=L70, "-", _xlpm.count))</f>
        <v>-</v>
      </c>
    </row>
    <row r="71" spans="1:14" ht="16.5">
      <c r="A71" s="3" t="s">
        <v>145</v>
      </c>
      <c r="B71" s="4" t="s">
        <v>146</v>
      </c>
      <c r="C71" s="4">
        <v>1</v>
      </c>
      <c r="D71" s="5">
        <v>45947</v>
      </c>
      <c r="E71" s="5">
        <v>45973</v>
      </c>
      <c r="F71" s="7"/>
      <c r="G71" s="8"/>
      <c r="H71" s="4" t="s">
        <v>146</v>
      </c>
      <c r="I71" t="str">
        <f t="shared" si="3"/>
        <v>P-22103</v>
      </c>
      <c r="J71" s="12">
        <f t="shared" si="4"/>
        <v>45973</v>
      </c>
      <c r="K71" s="13" t="str">
        <f t="shared" si="5"/>
        <v>0</v>
      </c>
      <c r="L71" s="13" cm="1">
        <f t="array" ref="L71">VALUE(_xlfn.IFS(ISERROR(FIND("(",C71,1)),C71,TRUE,MID(C71,FIND("(",C71,1)+1,LEN(C71)-FIND("(",C71,1)-1)))</f>
        <v>1</v>
      </c>
      <c r="N71" t="str">
        <f>_xlfn.LET(_xlpm.count, _xlfn.MAXIFS('DWG NO.ALL'!D:D,'DWG NO.ALL'!B:B,I71), IF(_xlpm.count=L71, "-", _xlpm.count))</f>
        <v>-</v>
      </c>
    </row>
    <row r="72" spans="1:14" ht="16.5">
      <c r="A72" s="3" t="s">
        <v>147</v>
      </c>
      <c r="B72" s="4" t="s">
        <v>148</v>
      </c>
      <c r="C72" s="4">
        <v>2</v>
      </c>
      <c r="D72" s="5">
        <v>45947</v>
      </c>
      <c r="E72" s="5">
        <v>45973</v>
      </c>
      <c r="F72" s="7"/>
      <c r="G72" s="8"/>
      <c r="H72" s="4" t="s">
        <v>148</v>
      </c>
      <c r="I72" t="str">
        <f t="shared" si="3"/>
        <v>P-22104</v>
      </c>
      <c r="J72" s="12">
        <f t="shared" si="4"/>
        <v>45973</v>
      </c>
      <c r="K72" s="13" t="str">
        <f t="shared" si="5"/>
        <v>0</v>
      </c>
      <c r="L72" s="13" cm="1">
        <f t="array" ref="L72">VALUE(_xlfn.IFS(ISERROR(FIND("(",C72,1)),C72,TRUE,MID(C72,FIND("(",C72,1)+1,LEN(C72)-FIND("(",C72,1)-1)))</f>
        <v>2</v>
      </c>
      <c r="N72" t="str">
        <f>_xlfn.LET(_xlpm.count, _xlfn.MAXIFS('DWG NO.ALL'!D:D,'DWG NO.ALL'!B:B,I72), IF(_xlpm.count=L72, "-", _xlpm.count))</f>
        <v>-</v>
      </c>
    </row>
    <row r="73" spans="1:14" ht="16.5">
      <c r="A73" s="3" t="s">
        <v>149</v>
      </c>
      <c r="B73" s="4" t="s">
        <v>150</v>
      </c>
      <c r="C73" s="4">
        <v>1</v>
      </c>
      <c r="D73" s="5">
        <v>45947</v>
      </c>
      <c r="E73" s="5">
        <v>45973</v>
      </c>
      <c r="F73" s="7"/>
      <c r="G73" s="8"/>
      <c r="H73" s="4" t="s">
        <v>150</v>
      </c>
      <c r="I73" t="str">
        <f t="shared" si="3"/>
        <v>P-22105</v>
      </c>
      <c r="J73" s="12">
        <f t="shared" si="4"/>
        <v>45973</v>
      </c>
      <c r="K73" s="13" t="str">
        <f t="shared" si="5"/>
        <v>0</v>
      </c>
      <c r="L73" s="13" cm="1">
        <f t="array" ref="L73">VALUE(_xlfn.IFS(ISERROR(FIND("(",C73,1)),C73,TRUE,MID(C73,FIND("(",C73,1)+1,LEN(C73)-FIND("(",C73,1)-1)))</f>
        <v>1</v>
      </c>
      <c r="N73" t="str">
        <f>_xlfn.LET(_xlpm.count, _xlfn.MAXIFS('DWG NO.ALL'!D:D,'DWG NO.ALL'!B:B,I73), IF(_xlpm.count=L73, "-", _xlpm.count))</f>
        <v>-</v>
      </c>
    </row>
    <row r="74" spans="1:14" ht="16.5">
      <c r="A74" s="3" t="s">
        <v>151</v>
      </c>
      <c r="B74" s="4" t="s">
        <v>152</v>
      </c>
      <c r="C74" s="4">
        <v>1</v>
      </c>
      <c r="D74" s="5">
        <v>45947</v>
      </c>
      <c r="E74" s="5">
        <v>45973</v>
      </c>
      <c r="F74" s="7"/>
      <c r="G74" s="8"/>
      <c r="H74" s="4" t="s">
        <v>152</v>
      </c>
      <c r="I74" t="str">
        <f t="shared" si="3"/>
        <v>P-22106</v>
      </c>
      <c r="J74" s="12">
        <f t="shared" si="4"/>
        <v>45973</v>
      </c>
      <c r="K74" s="13" t="str">
        <f t="shared" si="5"/>
        <v>0</v>
      </c>
      <c r="L74" s="13" cm="1">
        <f t="array" ref="L74">VALUE(_xlfn.IFS(ISERROR(FIND("(",C74,1)),C74,TRUE,MID(C74,FIND("(",C74,1)+1,LEN(C74)-FIND("(",C74,1)-1)))</f>
        <v>1</v>
      </c>
      <c r="N74" t="str">
        <f>_xlfn.LET(_xlpm.count, _xlfn.MAXIFS('DWG NO.ALL'!D:D,'DWG NO.ALL'!B:B,I74), IF(_xlpm.count=L74, "-", _xlpm.count))</f>
        <v>-</v>
      </c>
    </row>
    <row r="75" spans="1:14" ht="16.5">
      <c r="A75" s="3" t="s">
        <v>153</v>
      </c>
      <c r="B75" s="4" t="s">
        <v>154</v>
      </c>
      <c r="C75" s="4">
        <v>5</v>
      </c>
      <c r="D75" s="5">
        <v>45947</v>
      </c>
      <c r="E75" s="5">
        <v>45973</v>
      </c>
      <c r="F75" s="7"/>
      <c r="G75" s="8"/>
      <c r="H75" s="4" t="s">
        <v>154</v>
      </c>
      <c r="I75" t="str">
        <f t="shared" si="3"/>
        <v>P-22107</v>
      </c>
      <c r="J75" s="12">
        <f t="shared" si="4"/>
        <v>45973</v>
      </c>
      <c r="K75" s="13" t="str">
        <f t="shared" si="5"/>
        <v>0</v>
      </c>
      <c r="L75" s="13" cm="1">
        <f t="array" ref="L75">VALUE(_xlfn.IFS(ISERROR(FIND("(",C75,1)),C75,TRUE,MID(C75,FIND("(",C75,1)+1,LEN(C75)-FIND("(",C75,1)-1)))</f>
        <v>5</v>
      </c>
      <c r="N75" t="str">
        <f>_xlfn.LET(_xlpm.count, _xlfn.MAXIFS('DWG NO.ALL'!D:D,'DWG NO.ALL'!B:B,I75), IF(_xlpm.count=L75, "-", _xlpm.count))</f>
        <v>-</v>
      </c>
    </row>
    <row r="76" spans="1:14" ht="16.5">
      <c r="A76" s="3" t="s">
        <v>155</v>
      </c>
      <c r="B76" s="4" t="s">
        <v>156</v>
      </c>
      <c r="C76" s="4">
        <v>2</v>
      </c>
      <c r="D76" s="5">
        <v>45947</v>
      </c>
      <c r="E76" s="5">
        <v>45973</v>
      </c>
      <c r="F76" s="7"/>
      <c r="G76" s="8"/>
      <c r="H76" s="4" t="s">
        <v>156</v>
      </c>
      <c r="I76" t="str">
        <f t="shared" si="3"/>
        <v>P-22108</v>
      </c>
      <c r="J76" s="12">
        <f t="shared" si="4"/>
        <v>45973</v>
      </c>
      <c r="K76" s="13" t="str">
        <f t="shared" si="5"/>
        <v>0</v>
      </c>
      <c r="L76" s="13" cm="1">
        <f t="array" ref="L76">VALUE(_xlfn.IFS(ISERROR(FIND("(",C76,1)),C76,TRUE,MID(C76,FIND("(",C76,1)+1,LEN(C76)-FIND("(",C76,1)-1)))</f>
        <v>2</v>
      </c>
      <c r="N76" t="str">
        <f>_xlfn.LET(_xlpm.count, _xlfn.MAXIFS('DWG NO.ALL'!D:D,'DWG NO.ALL'!B:B,I76), IF(_xlpm.count=L76, "-", _xlpm.count))</f>
        <v>-</v>
      </c>
    </row>
    <row r="77" spans="1:14" ht="16.5">
      <c r="A77" s="3" t="s">
        <v>157</v>
      </c>
      <c r="B77" s="4" t="s">
        <v>158</v>
      </c>
      <c r="C77" s="4">
        <v>1</v>
      </c>
      <c r="D77" s="5">
        <v>45947</v>
      </c>
      <c r="E77" s="5">
        <v>45973</v>
      </c>
      <c r="F77" s="7"/>
      <c r="G77" s="8"/>
      <c r="H77" s="4" t="s">
        <v>158</v>
      </c>
      <c r="I77" t="str">
        <f t="shared" si="3"/>
        <v>P-22109</v>
      </c>
      <c r="J77" s="12">
        <f t="shared" si="4"/>
        <v>45973</v>
      </c>
      <c r="K77" s="13" t="str">
        <f t="shared" si="5"/>
        <v>0</v>
      </c>
      <c r="L77" s="13" cm="1">
        <f t="array" ref="L77">VALUE(_xlfn.IFS(ISERROR(FIND("(",C77,1)),C77,TRUE,MID(C77,FIND("(",C77,1)+1,LEN(C77)-FIND("(",C77,1)-1)))</f>
        <v>1</v>
      </c>
      <c r="N77" t="str">
        <f>_xlfn.LET(_xlpm.count, _xlfn.MAXIFS('DWG NO.ALL'!D:D,'DWG NO.ALL'!B:B,I77), IF(_xlpm.count=L77, "-", _xlpm.count))</f>
        <v>-</v>
      </c>
    </row>
    <row r="78" spans="1:14" ht="16.5">
      <c r="A78" s="3" t="s">
        <v>159</v>
      </c>
      <c r="B78" s="4" t="s">
        <v>160</v>
      </c>
      <c r="C78" s="4">
        <v>1</v>
      </c>
      <c r="D78" s="5">
        <v>45947</v>
      </c>
      <c r="E78" s="5">
        <v>45973</v>
      </c>
      <c r="F78" s="7"/>
      <c r="G78" s="8"/>
      <c r="H78" s="4" t="s">
        <v>160</v>
      </c>
      <c r="I78" t="str">
        <f t="shared" si="3"/>
        <v>P-22110</v>
      </c>
      <c r="J78" s="12">
        <f t="shared" si="4"/>
        <v>45973</v>
      </c>
      <c r="K78" s="13" t="str">
        <f t="shared" si="5"/>
        <v>0</v>
      </c>
      <c r="L78" s="13" cm="1">
        <f t="array" ref="L78">VALUE(_xlfn.IFS(ISERROR(FIND("(",C78,1)),C78,TRUE,MID(C78,FIND("(",C78,1)+1,LEN(C78)-FIND("(",C78,1)-1)))</f>
        <v>1</v>
      </c>
      <c r="N78" t="str">
        <f>_xlfn.LET(_xlpm.count, _xlfn.MAXIFS('DWG NO.ALL'!D:D,'DWG NO.ALL'!B:B,I78), IF(_xlpm.count=L78, "-", _xlpm.count))</f>
        <v>-</v>
      </c>
    </row>
    <row r="79" spans="1:14" ht="16.5">
      <c r="A79" s="3" t="s">
        <v>161</v>
      </c>
      <c r="B79" s="4" t="s">
        <v>162</v>
      </c>
      <c r="C79" s="4">
        <v>2</v>
      </c>
      <c r="D79" s="5">
        <v>45947</v>
      </c>
      <c r="E79" s="5">
        <v>45973</v>
      </c>
      <c r="F79" s="7"/>
      <c r="G79" s="8"/>
      <c r="H79" s="4" t="s">
        <v>162</v>
      </c>
      <c r="I79" t="str">
        <f t="shared" si="3"/>
        <v>P-22111</v>
      </c>
      <c r="J79" s="12">
        <f t="shared" si="4"/>
        <v>45973</v>
      </c>
      <c r="K79" s="13" t="str">
        <f t="shared" si="5"/>
        <v>0</v>
      </c>
      <c r="L79" s="13" cm="1">
        <f t="array" ref="L79">VALUE(_xlfn.IFS(ISERROR(FIND("(",C79,1)),C79,TRUE,MID(C79,FIND("(",C79,1)+1,LEN(C79)-FIND("(",C79,1)-1)))</f>
        <v>2</v>
      </c>
      <c r="N79" t="str">
        <f>_xlfn.LET(_xlpm.count, _xlfn.MAXIFS('DWG NO.ALL'!D:D,'DWG NO.ALL'!B:B,I79), IF(_xlpm.count=L79, "-", _xlpm.count))</f>
        <v>-</v>
      </c>
    </row>
    <row r="80" spans="1:14" ht="16.5">
      <c r="A80" s="3" t="s">
        <v>163</v>
      </c>
      <c r="B80" s="4" t="s">
        <v>164</v>
      </c>
      <c r="C80" s="4">
        <v>2</v>
      </c>
      <c r="D80" s="5">
        <v>45947</v>
      </c>
      <c r="E80" s="5">
        <v>45973</v>
      </c>
      <c r="F80" s="7"/>
      <c r="G80" s="8"/>
      <c r="H80" s="4" t="s">
        <v>164</v>
      </c>
      <c r="I80" t="str">
        <f t="shared" si="3"/>
        <v>P-22112</v>
      </c>
      <c r="J80" s="12">
        <f t="shared" si="4"/>
        <v>45973</v>
      </c>
      <c r="K80" s="13" t="str">
        <f t="shared" si="5"/>
        <v>0</v>
      </c>
      <c r="L80" s="13" cm="1">
        <f t="array" ref="L80">VALUE(_xlfn.IFS(ISERROR(FIND("(",C80,1)),C80,TRUE,MID(C80,FIND("(",C80,1)+1,LEN(C80)-FIND("(",C80,1)-1)))</f>
        <v>2</v>
      </c>
      <c r="N80" t="str">
        <f>_xlfn.LET(_xlpm.count, _xlfn.MAXIFS('DWG NO.ALL'!D:D,'DWG NO.ALL'!B:B,I80), IF(_xlpm.count=L80, "-", _xlpm.count))</f>
        <v>-</v>
      </c>
    </row>
    <row r="81" spans="1:14" ht="16.5">
      <c r="A81" s="3" t="s">
        <v>165</v>
      </c>
      <c r="B81" s="4" t="s">
        <v>166</v>
      </c>
      <c r="C81" s="4">
        <v>3</v>
      </c>
      <c r="D81" s="5">
        <v>45947</v>
      </c>
      <c r="E81" s="5">
        <v>45973</v>
      </c>
      <c r="F81" s="7"/>
      <c r="G81" s="8"/>
      <c r="H81" s="4" t="s">
        <v>166</v>
      </c>
      <c r="I81" t="str">
        <f t="shared" si="3"/>
        <v>P-22113</v>
      </c>
      <c r="J81" s="12">
        <f t="shared" si="4"/>
        <v>45973</v>
      </c>
      <c r="K81" s="13" t="str">
        <f t="shared" si="5"/>
        <v>0</v>
      </c>
      <c r="L81" s="13" cm="1">
        <f t="array" ref="L81">VALUE(_xlfn.IFS(ISERROR(FIND("(",C81,1)),C81,TRUE,MID(C81,FIND("(",C81,1)+1,LEN(C81)-FIND("(",C81,1)-1)))</f>
        <v>3</v>
      </c>
      <c r="N81" t="str">
        <f>_xlfn.LET(_xlpm.count, _xlfn.MAXIFS('DWG NO.ALL'!D:D,'DWG NO.ALL'!B:B,I81), IF(_xlpm.count=L81, "-", _xlpm.count))</f>
        <v>-</v>
      </c>
    </row>
    <row r="82" spans="1:14" ht="16.5">
      <c r="A82" s="3" t="s">
        <v>167</v>
      </c>
      <c r="B82" s="4" t="s">
        <v>168</v>
      </c>
      <c r="C82" s="4">
        <v>2</v>
      </c>
      <c r="D82" s="5">
        <v>45947</v>
      </c>
      <c r="E82" s="5">
        <v>45973</v>
      </c>
      <c r="F82" s="9">
        <v>45989</v>
      </c>
      <c r="G82" s="8"/>
      <c r="H82" s="4" t="s">
        <v>168</v>
      </c>
      <c r="I82" t="str">
        <f t="shared" si="3"/>
        <v>P-22114</v>
      </c>
      <c r="J82" s="12">
        <f t="shared" si="4"/>
        <v>45989</v>
      </c>
      <c r="K82" s="13" t="str">
        <f t="shared" si="5"/>
        <v>1</v>
      </c>
      <c r="L82" s="13" cm="1">
        <f t="array" ref="L82">VALUE(_xlfn.IFS(ISERROR(FIND("(",C82,1)),C82,TRUE,MID(C82,FIND("(",C82,1)+1,LEN(C82)-FIND("(",C82,1)-1)))</f>
        <v>2</v>
      </c>
      <c r="N82" t="str">
        <f>_xlfn.LET(_xlpm.count, _xlfn.MAXIFS('DWG NO.ALL'!D:D,'DWG NO.ALL'!B:B,I82), IF(_xlpm.count=L82, "-", _xlpm.count))</f>
        <v>-</v>
      </c>
    </row>
    <row r="83" spans="1:14" ht="16.5">
      <c r="A83" s="3" t="s">
        <v>169</v>
      </c>
      <c r="B83" s="4" t="s">
        <v>170</v>
      </c>
      <c r="C83" s="4">
        <v>2</v>
      </c>
      <c r="D83" s="5">
        <v>45947</v>
      </c>
      <c r="E83" s="5">
        <v>45973</v>
      </c>
      <c r="F83" s="7"/>
      <c r="G83" s="8"/>
      <c r="H83" s="4" t="s">
        <v>170</v>
      </c>
      <c r="I83" t="str">
        <f t="shared" si="3"/>
        <v>P-22115</v>
      </c>
      <c r="J83" s="12">
        <f t="shared" si="4"/>
        <v>45973</v>
      </c>
      <c r="K83" s="13" t="str">
        <f t="shared" si="5"/>
        <v>0</v>
      </c>
      <c r="L83" s="13" cm="1">
        <f t="array" ref="L83">VALUE(_xlfn.IFS(ISERROR(FIND("(",C83,1)),C83,TRUE,MID(C83,FIND("(",C83,1)+1,LEN(C83)-FIND("(",C83,1)-1)))</f>
        <v>2</v>
      </c>
      <c r="N83" t="str">
        <f>_xlfn.LET(_xlpm.count, _xlfn.MAXIFS('DWG NO.ALL'!D:D,'DWG NO.ALL'!B:B,I83), IF(_xlpm.count=L83, "-", _xlpm.count))</f>
        <v>-</v>
      </c>
    </row>
    <row r="84" spans="1:14" ht="16.5">
      <c r="A84" s="3" t="s">
        <v>171</v>
      </c>
      <c r="B84" s="4" t="s">
        <v>172</v>
      </c>
      <c r="C84" s="4">
        <v>4</v>
      </c>
      <c r="D84" s="5">
        <v>45947</v>
      </c>
      <c r="E84" s="5">
        <v>45973</v>
      </c>
      <c r="F84" s="7"/>
      <c r="G84" s="8"/>
      <c r="H84" s="4" t="s">
        <v>172</v>
      </c>
      <c r="I84" t="str">
        <f t="shared" si="3"/>
        <v>P-22116</v>
      </c>
      <c r="J84" s="12">
        <f t="shared" si="4"/>
        <v>45973</v>
      </c>
      <c r="K84" s="13" t="str">
        <f t="shared" si="5"/>
        <v>0</v>
      </c>
      <c r="L84" s="13" cm="1">
        <f t="array" ref="L84">VALUE(_xlfn.IFS(ISERROR(FIND("(",C84,1)),C84,TRUE,MID(C84,FIND("(",C84,1)+1,LEN(C84)-FIND("(",C84,1)-1)))</f>
        <v>4</v>
      </c>
      <c r="N84" t="str">
        <f>_xlfn.LET(_xlpm.count, _xlfn.MAXIFS('DWG NO.ALL'!D:D,'DWG NO.ALL'!B:B,I84), IF(_xlpm.count=L84, "-", _xlpm.count))</f>
        <v>-</v>
      </c>
    </row>
    <row r="85" spans="1:14" ht="16.5">
      <c r="A85" s="3" t="s">
        <v>173</v>
      </c>
      <c r="B85" s="4" t="s">
        <v>174</v>
      </c>
      <c r="C85" s="4">
        <v>1</v>
      </c>
      <c r="D85" s="5">
        <v>45947</v>
      </c>
      <c r="E85" s="5">
        <v>45973</v>
      </c>
      <c r="F85" s="7"/>
      <c r="G85" s="8"/>
      <c r="H85" s="4" t="s">
        <v>174</v>
      </c>
      <c r="I85" t="str">
        <f t="shared" si="3"/>
        <v>P-22117</v>
      </c>
      <c r="J85" s="12">
        <f t="shared" si="4"/>
        <v>45973</v>
      </c>
      <c r="K85" s="13" t="str">
        <f t="shared" si="5"/>
        <v>0</v>
      </c>
      <c r="L85" s="13" cm="1">
        <f t="array" ref="L85">VALUE(_xlfn.IFS(ISERROR(FIND("(",C85,1)),C85,TRUE,MID(C85,FIND("(",C85,1)+1,LEN(C85)-FIND("(",C85,1)-1)))</f>
        <v>1</v>
      </c>
      <c r="N85" t="str">
        <f>_xlfn.LET(_xlpm.count, _xlfn.MAXIFS('DWG NO.ALL'!D:D,'DWG NO.ALL'!B:B,I85), IF(_xlpm.count=L85, "-", _xlpm.count))</f>
        <v>-</v>
      </c>
    </row>
    <row r="86" spans="1:14" ht="16.5">
      <c r="A86" s="3" t="s">
        <v>175</v>
      </c>
      <c r="B86" s="4" t="s">
        <v>176</v>
      </c>
      <c r="C86" s="4">
        <v>3</v>
      </c>
      <c r="D86" s="5">
        <v>45947</v>
      </c>
      <c r="E86" s="5">
        <v>45973</v>
      </c>
      <c r="F86" s="7"/>
      <c r="G86" s="8"/>
      <c r="H86" s="4" t="s">
        <v>176</v>
      </c>
      <c r="I86" t="str">
        <f t="shared" si="3"/>
        <v>P-22118</v>
      </c>
      <c r="J86" s="12">
        <f t="shared" si="4"/>
        <v>45973</v>
      </c>
      <c r="K86" s="13" t="str">
        <f t="shared" si="5"/>
        <v>0</v>
      </c>
      <c r="L86" s="13" cm="1">
        <f t="array" ref="L86">VALUE(_xlfn.IFS(ISERROR(FIND("(",C86,1)),C86,TRUE,MID(C86,FIND("(",C86,1)+1,LEN(C86)-FIND("(",C86,1)-1)))</f>
        <v>3</v>
      </c>
      <c r="N86" t="str">
        <f>_xlfn.LET(_xlpm.count, _xlfn.MAXIFS('DWG NO.ALL'!D:D,'DWG NO.ALL'!B:B,I86), IF(_xlpm.count=L86, "-", _xlpm.count))</f>
        <v>-</v>
      </c>
    </row>
    <row r="87" spans="1:14" ht="16.5">
      <c r="A87" s="3" t="s">
        <v>177</v>
      </c>
      <c r="B87" s="4" t="s">
        <v>178</v>
      </c>
      <c r="C87" s="4">
        <v>2</v>
      </c>
      <c r="D87" s="5">
        <v>45947</v>
      </c>
      <c r="E87" s="5">
        <v>45973</v>
      </c>
      <c r="F87" s="7"/>
      <c r="G87" s="8"/>
      <c r="H87" s="4" t="s">
        <v>178</v>
      </c>
      <c r="I87" t="str">
        <f t="shared" si="3"/>
        <v>P-22119</v>
      </c>
      <c r="J87" s="12">
        <f t="shared" si="4"/>
        <v>45973</v>
      </c>
      <c r="K87" s="13" t="str">
        <f t="shared" si="5"/>
        <v>0</v>
      </c>
      <c r="L87" s="13" cm="1">
        <f t="array" ref="L87">VALUE(_xlfn.IFS(ISERROR(FIND("(",C87,1)),C87,TRUE,MID(C87,FIND("(",C87,1)+1,LEN(C87)-FIND("(",C87,1)-1)))</f>
        <v>2</v>
      </c>
      <c r="N87" t="str">
        <f>_xlfn.LET(_xlpm.count, _xlfn.MAXIFS('DWG NO.ALL'!D:D,'DWG NO.ALL'!B:B,I87), IF(_xlpm.count=L87, "-", _xlpm.count))</f>
        <v>-</v>
      </c>
    </row>
    <row r="88" spans="1:14" ht="16.5">
      <c r="A88" s="3" t="s">
        <v>179</v>
      </c>
      <c r="B88" s="4" t="s">
        <v>180</v>
      </c>
      <c r="C88" s="4">
        <v>1</v>
      </c>
      <c r="D88" s="5">
        <v>45947</v>
      </c>
      <c r="E88" s="5">
        <v>45973</v>
      </c>
      <c r="F88" s="7"/>
      <c r="G88" s="8"/>
      <c r="H88" s="4" t="s">
        <v>180</v>
      </c>
      <c r="I88" t="str">
        <f t="shared" si="3"/>
        <v>P-22120</v>
      </c>
      <c r="J88" s="12">
        <f t="shared" si="4"/>
        <v>45973</v>
      </c>
      <c r="K88" s="13" t="str">
        <f t="shared" si="5"/>
        <v>0</v>
      </c>
      <c r="L88" s="13" cm="1">
        <f t="array" ref="L88">VALUE(_xlfn.IFS(ISERROR(FIND("(",C88,1)),C88,TRUE,MID(C88,FIND("(",C88,1)+1,LEN(C88)-FIND("(",C88,1)-1)))</f>
        <v>1</v>
      </c>
      <c r="N88" t="str">
        <f>_xlfn.LET(_xlpm.count, _xlfn.MAXIFS('DWG NO.ALL'!D:D,'DWG NO.ALL'!B:B,I88), IF(_xlpm.count=L88, "-", _xlpm.count))</f>
        <v>-</v>
      </c>
    </row>
    <row r="89" spans="1:14" ht="16.5">
      <c r="A89" s="3" t="s">
        <v>181</v>
      </c>
      <c r="B89" s="4" t="s">
        <v>182</v>
      </c>
      <c r="C89" s="4">
        <v>1</v>
      </c>
      <c r="D89" s="5">
        <v>45947</v>
      </c>
      <c r="E89" s="5">
        <v>45973</v>
      </c>
      <c r="F89" s="7"/>
      <c r="G89" s="8"/>
      <c r="H89" s="4" t="s">
        <v>182</v>
      </c>
      <c r="I89" t="str">
        <f t="shared" si="3"/>
        <v>P-22121</v>
      </c>
      <c r="J89" s="12">
        <f t="shared" si="4"/>
        <v>45973</v>
      </c>
      <c r="K89" s="13" t="str">
        <f t="shared" si="5"/>
        <v>0</v>
      </c>
      <c r="L89" s="13" cm="1">
        <f t="array" ref="L89">VALUE(_xlfn.IFS(ISERROR(FIND("(",C89,1)),C89,TRUE,MID(C89,FIND("(",C89,1)+1,LEN(C89)-FIND("(",C89,1)-1)))</f>
        <v>1</v>
      </c>
      <c r="N89" t="str">
        <f>_xlfn.LET(_xlpm.count, _xlfn.MAXIFS('DWG NO.ALL'!D:D,'DWG NO.ALL'!B:B,I89), IF(_xlpm.count=L89, "-", _xlpm.count))</f>
        <v>-</v>
      </c>
    </row>
    <row r="90" spans="1:14" ht="16.5">
      <c r="A90" s="3" t="s">
        <v>183</v>
      </c>
      <c r="B90" s="4" t="s">
        <v>184</v>
      </c>
      <c r="C90" s="4">
        <v>4</v>
      </c>
      <c r="D90" s="5">
        <v>45947</v>
      </c>
      <c r="E90" s="5">
        <v>45973</v>
      </c>
      <c r="F90" s="7"/>
      <c r="G90" s="8"/>
      <c r="H90" s="4" t="s">
        <v>184</v>
      </c>
      <c r="I90" t="str">
        <f t="shared" si="3"/>
        <v>P-22122</v>
      </c>
      <c r="J90" s="12">
        <f t="shared" si="4"/>
        <v>45973</v>
      </c>
      <c r="K90" s="13" t="str">
        <f t="shared" si="5"/>
        <v>0</v>
      </c>
      <c r="L90" s="13" cm="1">
        <f t="array" ref="L90">VALUE(_xlfn.IFS(ISERROR(FIND("(",C90,1)),C90,TRUE,MID(C90,FIND("(",C90,1)+1,LEN(C90)-FIND("(",C90,1)-1)))</f>
        <v>4</v>
      </c>
      <c r="N90" t="str">
        <f>_xlfn.LET(_xlpm.count, _xlfn.MAXIFS('DWG NO.ALL'!D:D,'DWG NO.ALL'!B:B,I90), IF(_xlpm.count=L90, "-", _xlpm.count))</f>
        <v>-</v>
      </c>
    </row>
    <row r="91" spans="1:14" ht="16.5">
      <c r="A91" s="3" t="s">
        <v>185</v>
      </c>
      <c r="B91" s="4" t="s">
        <v>186</v>
      </c>
      <c r="C91" s="4">
        <v>4</v>
      </c>
      <c r="D91" s="5">
        <v>45947</v>
      </c>
      <c r="E91" s="5">
        <v>45973</v>
      </c>
      <c r="F91" s="7"/>
      <c r="G91" s="8"/>
      <c r="H91" s="4" t="s">
        <v>186</v>
      </c>
      <c r="I91" t="str">
        <f t="shared" si="3"/>
        <v>P-22123</v>
      </c>
      <c r="J91" s="12">
        <f t="shared" si="4"/>
        <v>45973</v>
      </c>
      <c r="K91" s="13" t="str">
        <f t="shared" si="5"/>
        <v>0</v>
      </c>
      <c r="L91" s="13" cm="1">
        <f t="array" ref="L91">VALUE(_xlfn.IFS(ISERROR(FIND("(",C91,1)),C91,TRUE,MID(C91,FIND("(",C91,1)+1,LEN(C91)-FIND("(",C91,1)-1)))</f>
        <v>4</v>
      </c>
      <c r="N91" t="str">
        <f>_xlfn.LET(_xlpm.count, _xlfn.MAXIFS('DWG NO.ALL'!D:D,'DWG NO.ALL'!B:B,I91), IF(_xlpm.count=L91, "-", _xlpm.count))</f>
        <v>-</v>
      </c>
    </row>
    <row r="92" spans="1:14" ht="16.5">
      <c r="A92" s="3" t="s">
        <v>187</v>
      </c>
      <c r="B92" s="4" t="s">
        <v>188</v>
      </c>
      <c r="C92" s="4">
        <v>1</v>
      </c>
      <c r="D92" s="5">
        <v>45947</v>
      </c>
      <c r="E92" s="5">
        <v>45973</v>
      </c>
      <c r="F92" s="7"/>
      <c r="G92" s="8"/>
      <c r="H92" s="4" t="s">
        <v>188</v>
      </c>
      <c r="I92" t="str">
        <f t="shared" si="3"/>
        <v>P-22124</v>
      </c>
      <c r="J92" s="12">
        <f t="shared" si="4"/>
        <v>45973</v>
      </c>
      <c r="K92" s="13" t="str">
        <f t="shared" si="5"/>
        <v>0</v>
      </c>
      <c r="L92" s="13" cm="1">
        <f t="array" ref="L92">VALUE(_xlfn.IFS(ISERROR(FIND("(",C92,1)),C92,TRUE,MID(C92,FIND("(",C92,1)+1,LEN(C92)-FIND("(",C92,1)-1)))</f>
        <v>1</v>
      </c>
      <c r="N92" t="str">
        <f>_xlfn.LET(_xlpm.count, _xlfn.MAXIFS('DWG NO.ALL'!D:D,'DWG NO.ALL'!B:B,I92), IF(_xlpm.count=L92, "-", _xlpm.count))</f>
        <v>-</v>
      </c>
    </row>
    <row r="93" spans="1:14" ht="16.5">
      <c r="A93" s="3" t="s">
        <v>189</v>
      </c>
      <c r="B93" s="4" t="s">
        <v>190</v>
      </c>
      <c r="C93" s="4">
        <v>1</v>
      </c>
      <c r="D93" s="5">
        <v>45947</v>
      </c>
      <c r="E93" s="5">
        <v>45973</v>
      </c>
      <c r="F93" s="7"/>
      <c r="G93" s="8"/>
      <c r="H93" s="4" t="s">
        <v>190</v>
      </c>
      <c r="I93" t="str">
        <f t="shared" si="3"/>
        <v>P-22125</v>
      </c>
      <c r="J93" s="12">
        <f t="shared" si="4"/>
        <v>45973</v>
      </c>
      <c r="K93" s="13" t="str">
        <f t="shared" si="5"/>
        <v>0</v>
      </c>
      <c r="L93" s="13" cm="1">
        <f t="array" ref="L93">VALUE(_xlfn.IFS(ISERROR(FIND("(",C93,1)),C93,TRUE,MID(C93,FIND("(",C93,1)+1,LEN(C93)-FIND("(",C93,1)-1)))</f>
        <v>1</v>
      </c>
      <c r="N93" t="str">
        <f>_xlfn.LET(_xlpm.count, _xlfn.MAXIFS('DWG NO.ALL'!D:D,'DWG NO.ALL'!B:B,I93), IF(_xlpm.count=L93, "-", _xlpm.count))</f>
        <v>-</v>
      </c>
    </row>
    <row r="94" spans="1:14" ht="16.5">
      <c r="A94" s="3" t="s">
        <v>191</v>
      </c>
      <c r="B94" s="4" t="s">
        <v>192</v>
      </c>
      <c r="C94" s="4">
        <v>5</v>
      </c>
      <c r="D94" s="5">
        <v>45947</v>
      </c>
      <c r="E94" s="5">
        <v>45973</v>
      </c>
      <c r="F94" s="7"/>
      <c r="G94" s="8"/>
      <c r="H94" s="4" t="s">
        <v>192</v>
      </c>
      <c r="I94" t="str">
        <f t="shared" si="3"/>
        <v>P-22126</v>
      </c>
      <c r="J94" s="12">
        <f t="shared" si="4"/>
        <v>45973</v>
      </c>
      <c r="K94" s="13" t="str">
        <f t="shared" si="5"/>
        <v>0</v>
      </c>
      <c r="L94" s="13" cm="1">
        <f t="array" ref="L94">VALUE(_xlfn.IFS(ISERROR(FIND("(",C94,1)),C94,TRUE,MID(C94,FIND("(",C94,1)+1,LEN(C94)-FIND("(",C94,1)-1)))</f>
        <v>5</v>
      </c>
      <c r="N94" t="str">
        <f>_xlfn.LET(_xlpm.count, _xlfn.MAXIFS('DWG NO.ALL'!D:D,'DWG NO.ALL'!B:B,I94), IF(_xlpm.count=L94, "-", _xlpm.count))</f>
        <v>-</v>
      </c>
    </row>
    <row r="95" spans="1:14" ht="16.5">
      <c r="A95" s="3" t="s">
        <v>193</v>
      </c>
      <c r="B95" s="4" t="s">
        <v>194</v>
      </c>
      <c r="C95" s="4">
        <v>1</v>
      </c>
      <c r="D95" s="5">
        <v>45947</v>
      </c>
      <c r="E95" s="5">
        <v>45973</v>
      </c>
      <c r="F95" s="7"/>
      <c r="G95" s="8"/>
      <c r="H95" s="4" t="s">
        <v>194</v>
      </c>
      <c r="I95" t="str">
        <f t="shared" si="3"/>
        <v>P-22127</v>
      </c>
      <c r="J95" s="12">
        <f t="shared" si="4"/>
        <v>45973</v>
      </c>
      <c r="K95" s="13" t="str">
        <f t="shared" si="5"/>
        <v>0</v>
      </c>
      <c r="L95" s="13" cm="1">
        <f t="array" ref="L95">VALUE(_xlfn.IFS(ISERROR(FIND("(",C95,1)),C95,TRUE,MID(C95,FIND("(",C95,1)+1,LEN(C95)-FIND("(",C95,1)-1)))</f>
        <v>1</v>
      </c>
      <c r="N95" t="str">
        <f>_xlfn.LET(_xlpm.count, _xlfn.MAXIFS('DWG NO.ALL'!D:D,'DWG NO.ALL'!B:B,I95), IF(_xlpm.count=L95, "-", _xlpm.count))</f>
        <v>-</v>
      </c>
    </row>
    <row r="96" spans="1:14" ht="16.5">
      <c r="A96" s="3" t="s">
        <v>195</v>
      </c>
      <c r="B96" s="4" t="s">
        <v>196</v>
      </c>
      <c r="C96" s="4">
        <v>2</v>
      </c>
      <c r="D96" s="5">
        <v>45947</v>
      </c>
      <c r="E96" s="5">
        <v>45973</v>
      </c>
      <c r="F96" s="7"/>
      <c r="G96" s="8"/>
      <c r="H96" s="4" t="s">
        <v>196</v>
      </c>
      <c r="I96" t="str">
        <f t="shared" si="3"/>
        <v>P-22128</v>
      </c>
      <c r="J96" s="12">
        <f t="shared" si="4"/>
        <v>45973</v>
      </c>
      <c r="K96" s="13" t="str">
        <f t="shared" si="5"/>
        <v>0</v>
      </c>
      <c r="L96" s="13" cm="1">
        <f t="array" ref="L96">VALUE(_xlfn.IFS(ISERROR(FIND("(",C96,1)),C96,TRUE,MID(C96,FIND("(",C96,1)+1,LEN(C96)-FIND("(",C96,1)-1)))</f>
        <v>2</v>
      </c>
      <c r="N96" t="str">
        <f>_xlfn.LET(_xlpm.count, _xlfn.MAXIFS('DWG NO.ALL'!D:D,'DWG NO.ALL'!B:B,I96), IF(_xlpm.count=L96, "-", _xlpm.count))</f>
        <v>-</v>
      </c>
    </row>
    <row r="97" spans="1:14" ht="16.5">
      <c r="A97" s="3" t="s">
        <v>197</v>
      </c>
      <c r="B97" s="4" t="s">
        <v>198</v>
      </c>
      <c r="C97" s="4">
        <v>1</v>
      </c>
      <c r="D97" s="5">
        <v>45947</v>
      </c>
      <c r="E97" s="5">
        <v>45973</v>
      </c>
      <c r="F97" s="7"/>
      <c r="G97" s="8"/>
      <c r="H97" s="4" t="s">
        <v>198</v>
      </c>
      <c r="I97" t="str">
        <f t="shared" si="3"/>
        <v>P-22129</v>
      </c>
      <c r="J97" s="12">
        <f t="shared" si="4"/>
        <v>45973</v>
      </c>
      <c r="K97" s="13" t="str">
        <f t="shared" si="5"/>
        <v>0</v>
      </c>
      <c r="L97" s="13" cm="1">
        <f t="array" ref="L97">VALUE(_xlfn.IFS(ISERROR(FIND("(",C97,1)),C97,TRUE,MID(C97,FIND("(",C97,1)+1,LEN(C97)-FIND("(",C97,1)-1)))</f>
        <v>1</v>
      </c>
      <c r="N97" t="str">
        <f>_xlfn.LET(_xlpm.count, _xlfn.MAXIFS('DWG NO.ALL'!D:D,'DWG NO.ALL'!B:B,I97), IF(_xlpm.count=L97, "-", _xlpm.count))</f>
        <v>-</v>
      </c>
    </row>
    <row r="98" spans="1:14" ht="16.5">
      <c r="A98" s="3" t="s">
        <v>199</v>
      </c>
      <c r="B98" s="4" t="s">
        <v>200</v>
      </c>
      <c r="C98" s="4">
        <v>1</v>
      </c>
      <c r="D98" s="5">
        <v>45947</v>
      </c>
      <c r="E98" s="5">
        <v>45973</v>
      </c>
      <c r="F98" s="7"/>
      <c r="G98" s="8"/>
      <c r="H98" s="4" t="s">
        <v>200</v>
      </c>
      <c r="I98" t="str">
        <f t="shared" si="3"/>
        <v>P-22201</v>
      </c>
      <c r="J98" s="12">
        <f t="shared" si="4"/>
        <v>45973</v>
      </c>
      <c r="K98" s="13" t="str">
        <f t="shared" si="5"/>
        <v>0</v>
      </c>
      <c r="L98" s="13" cm="1">
        <f t="array" ref="L98">VALUE(_xlfn.IFS(ISERROR(FIND("(",C98,1)),C98,TRUE,MID(C98,FIND("(",C98,1)+1,LEN(C98)-FIND("(",C98,1)-1)))</f>
        <v>1</v>
      </c>
      <c r="N98" t="str">
        <f>_xlfn.LET(_xlpm.count, _xlfn.MAXIFS('DWG NO.ALL'!D:D,'DWG NO.ALL'!B:B,I98), IF(_xlpm.count=L98, "-", _xlpm.count))</f>
        <v>-</v>
      </c>
    </row>
    <row r="99" spans="1:14" ht="16.5">
      <c r="A99" s="3" t="s">
        <v>201</v>
      </c>
      <c r="B99" s="4" t="s">
        <v>202</v>
      </c>
      <c r="C99" s="4">
        <v>1</v>
      </c>
      <c r="D99" s="5">
        <v>45947</v>
      </c>
      <c r="E99" s="5">
        <v>45973</v>
      </c>
      <c r="F99" s="7"/>
      <c r="G99" s="8"/>
      <c r="H99" s="4" t="s">
        <v>202</v>
      </c>
      <c r="I99" t="str">
        <f t="shared" si="3"/>
        <v>P-22202</v>
      </c>
      <c r="J99" s="12">
        <f t="shared" si="4"/>
        <v>45973</v>
      </c>
      <c r="K99" s="13" t="str">
        <f t="shared" si="5"/>
        <v>0</v>
      </c>
      <c r="L99" s="13" cm="1">
        <f t="array" ref="L99">VALUE(_xlfn.IFS(ISERROR(FIND("(",C99,1)),C99,TRUE,MID(C99,FIND("(",C99,1)+1,LEN(C99)-FIND("(",C99,1)-1)))</f>
        <v>1</v>
      </c>
      <c r="N99" t="str">
        <f>_xlfn.LET(_xlpm.count, _xlfn.MAXIFS('DWG NO.ALL'!D:D,'DWG NO.ALL'!B:B,I99), IF(_xlpm.count=L99, "-", _xlpm.count))</f>
        <v>-</v>
      </c>
    </row>
    <row r="100" spans="1:14" ht="16.5">
      <c r="A100" s="3" t="s">
        <v>203</v>
      </c>
      <c r="B100" s="4" t="s">
        <v>204</v>
      </c>
      <c r="C100" s="4">
        <v>2</v>
      </c>
      <c r="D100" s="5">
        <v>45947</v>
      </c>
      <c r="E100" s="5">
        <v>45973</v>
      </c>
      <c r="F100" s="7"/>
      <c r="G100" s="8"/>
      <c r="H100" s="4" t="s">
        <v>204</v>
      </c>
      <c r="I100" t="str">
        <f t="shared" si="3"/>
        <v>P-22203</v>
      </c>
      <c r="J100" s="12">
        <f t="shared" si="4"/>
        <v>45973</v>
      </c>
      <c r="K100" s="13" t="str">
        <f t="shared" si="5"/>
        <v>0</v>
      </c>
      <c r="L100" s="13" cm="1">
        <f t="array" ref="L100">VALUE(_xlfn.IFS(ISERROR(FIND("(",C100,1)),C100,TRUE,MID(C100,FIND("(",C100,1)+1,LEN(C100)-FIND("(",C100,1)-1)))</f>
        <v>2</v>
      </c>
      <c r="N100" t="str">
        <f>_xlfn.LET(_xlpm.count, _xlfn.MAXIFS('DWG NO.ALL'!D:D,'DWG NO.ALL'!B:B,I100), IF(_xlpm.count=L100, "-", _xlpm.count))</f>
        <v>-</v>
      </c>
    </row>
    <row r="101" spans="1:14" ht="16.5">
      <c r="A101" s="3" t="s">
        <v>205</v>
      </c>
      <c r="B101" s="4" t="s">
        <v>206</v>
      </c>
      <c r="C101" s="4">
        <v>1</v>
      </c>
      <c r="D101" s="5">
        <v>45947</v>
      </c>
      <c r="E101" s="5">
        <v>45973</v>
      </c>
      <c r="F101" s="7"/>
      <c r="G101" s="8"/>
      <c r="H101" s="4" t="s">
        <v>206</v>
      </c>
      <c r="I101" t="str">
        <f t="shared" si="3"/>
        <v>P-22204</v>
      </c>
      <c r="J101" s="12">
        <f t="shared" si="4"/>
        <v>45973</v>
      </c>
      <c r="K101" s="13" t="str">
        <f t="shared" si="5"/>
        <v>0</v>
      </c>
      <c r="L101" s="13" cm="1">
        <f t="array" ref="L101">VALUE(_xlfn.IFS(ISERROR(FIND("(",C101,1)),C101,TRUE,MID(C101,FIND("(",C101,1)+1,LEN(C101)-FIND("(",C101,1)-1)))</f>
        <v>1</v>
      </c>
      <c r="N101" t="str">
        <f>_xlfn.LET(_xlpm.count, _xlfn.MAXIFS('DWG NO.ALL'!D:D,'DWG NO.ALL'!B:B,I101), IF(_xlpm.count=L101, "-", _xlpm.count))</f>
        <v>-</v>
      </c>
    </row>
    <row r="102" spans="1:14" ht="16.5">
      <c r="A102" s="3" t="s">
        <v>207</v>
      </c>
      <c r="B102" s="4" t="s">
        <v>208</v>
      </c>
      <c r="C102" s="4">
        <v>1</v>
      </c>
      <c r="D102" s="5">
        <v>45947</v>
      </c>
      <c r="E102" s="5">
        <v>45973</v>
      </c>
      <c r="F102" s="7"/>
      <c r="G102" s="8"/>
      <c r="H102" s="4" t="s">
        <v>208</v>
      </c>
      <c r="I102" t="str">
        <f t="shared" si="3"/>
        <v>P-22205</v>
      </c>
      <c r="J102" s="12">
        <f t="shared" si="4"/>
        <v>45973</v>
      </c>
      <c r="K102" s="13" t="str">
        <f t="shared" si="5"/>
        <v>0</v>
      </c>
      <c r="L102" s="13" cm="1">
        <f t="array" ref="L102">VALUE(_xlfn.IFS(ISERROR(FIND("(",C102,1)),C102,TRUE,MID(C102,FIND("(",C102,1)+1,LEN(C102)-FIND("(",C102,1)-1)))</f>
        <v>1</v>
      </c>
      <c r="N102" t="str">
        <f>_xlfn.LET(_xlpm.count, _xlfn.MAXIFS('DWG NO.ALL'!D:D,'DWG NO.ALL'!B:B,I102), IF(_xlpm.count=L102, "-", _xlpm.count))</f>
        <v>-</v>
      </c>
    </row>
    <row r="103" spans="1:14" ht="16.5">
      <c r="A103" s="3" t="s">
        <v>209</v>
      </c>
      <c r="B103" s="4" t="s">
        <v>210</v>
      </c>
      <c r="C103" s="4">
        <v>4</v>
      </c>
      <c r="D103" s="5">
        <v>45947</v>
      </c>
      <c r="E103" s="5">
        <v>45973</v>
      </c>
      <c r="F103" s="7"/>
      <c r="G103" s="8"/>
      <c r="H103" s="4" t="s">
        <v>210</v>
      </c>
      <c r="I103" t="str">
        <f t="shared" si="3"/>
        <v>P-22206</v>
      </c>
      <c r="J103" s="12">
        <f t="shared" si="4"/>
        <v>45973</v>
      </c>
      <c r="K103" s="13" t="str">
        <f t="shared" si="5"/>
        <v>0</v>
      </c>
      <c r="L103" s="13" cm="1">
        <f t="array" ref="L103">VALUE(_xlfn.IFS(ISERROR(FIND("(",C103,1)),C103,TRUE,MID(C103,FIND("(",C103,1)+1,LEN(C103)-FIND("(",C103,1)-1)))</f>
        <v>4</v>
      </c>
      <c r="N103" t="str">
        <f>_xlfn.LET(_xlpm.count, _xlfn.MAXIFS('DWG NO.ALL'!D:D,'DWG NO.ALL'!B:B,I103), IF(_xlpm.count=L103, "-", _xlpm.count))</f>
        <v>-</v>
      </c>
    </row>
    <row r="104" spans="1:14" ht="16.5">
      <c r="A104" s="3" t="s">
        <v>211</v>
      </c>
      <c r="B104" s="4" t="s">
        <v>212</v>
      </c>
      <c r="C104" s="4">
        <v>2</v>
      </c>
      <c r="D104" s="5">
        <v>45947</v>
      </c>
      <c r="E104" s="5">
        <v>45973</v>
      </c>
      <c r="F104" s="7"/>
      <c r="G104" s="8"/>
      <c r="H104" s="4" t="s">
        <v>212</v>
      </c>
      <c r="I104" t="str">
        <f t="shared" si="3"/>
        <v>P-22207</v>
      </c>
      <c r="J104" s="12">
        <f t="shared" si="4"/>
        <v>45973</v>
      </c>
      <c r="K104" s="13" t="str">
        <f t="shared" si="5"/>
        <v>0</v>
      </c>
      <c r="L104" s="13" cm="1">
        <f t="array" ref="L104">VALUE(_xlfn.IFS(ISERROR(FIND("(",C104,1)),C104,TRUE,MID(C104,FIND("(",C104,1)+1,LEN(C104)-FIND("(",C104,1)-1)))</f>
        <v>2</v>
      </c>
      <c r="N104" t="str">
        <f>_xlfn.LET(_xlpm.count, _xlfn.MAXIFS('DWG NO.ALL'!D:D,'DWG NO.ALL'!B:B,I104), IF(_xlpm.count=L104, "-", _xlpm.count))</f>
        <v>-</v>
      </c>
    </row>
    <row r="105" spans="1:14" ht="16.5">
      <c r="A105" s="3" t="s">
        <v>213</v>
      </c>
      <c r="B105" s="4" t="s">
        <v>214</v>
      </c>
      <c r="C105" s="4">
        <v>1</v>
      </c>
      <c r="D105" s="5">
        <v>45947</v>
      </c>
      <c r="E105" s="5">
        <v>45973</v>
      </c>
      <c r="F105" s="7"/>
      <c r="G105" s="8"/>
      <c r="H105" s="4" t="s">
        <v>214</v>
      </c>
      <c r="I105" t="str">
        <f t="shared" si="3"/>
        <v>P-22208</v>
      </c>
      <c r="J105" s="12">
        <f t="shared" si="4"/>
        <v>45973</v>
      </c>
      <c r="K105" s="13" t="str">
        <f t="shared" si="5"/>
        <v>0</v>
      </c>
      <c r="L105" s="13" cm="1">
        <f t="array" ref="L105">VALUE(_xlfn.IFS(ISERROR(FIND("(",C105,1)),C105,TRUE,MID(C105,FIND("(",C105,1)+1,LEN(C105)-FIND("(",C105,1)-1)))</f>
        <v>1</v>
      </c>
      <c r="N105" t="str">
        <f>_xlfn.LET(_xlpm.count, _xlfn.MAXIFS('DWG NO.ALL'!D:D,'DWG NO.ALL'!B:B,I105), IF(_xlpm.count=L105, "-", _xlpm.count))</f>
        <v>-</v>
      </c>
    </row>
    <row r="106" spans="1:14" ht="16.5">
      <c r="A106" s="3" t="s">
        <v>215</v>
      </c>
      <c r="B106" s="4" t="s">
        <v>216</v>
      </c>
      <c r="C106" s="4">
        <v>1</v>
      </c>
      <c r="D106" s="5">
        <v>45947</v>
      </c>
      <c r="E106" s="5">
        <v>45973</v>
      </c>
      <c r="F106" s="7"/>
      <c r="G106" s="8"/>
      <c r="H106" s="4" t="s">
        <v>216</v>
      </c>
      <c r="I106" t="str">
        <f t="shared" si="3"/>
        <v>P-22209</v>
      </c>
      <c r="J106" s="12">
        <f t="shared" si="4"/>
        <v>45973</v>
      </c>
      <c r="K106" s="13" t="str">
        <f t="shared" si="5"/>
        <v>0</v>
      </c>
      <c r="L106" s="13" cm="1">
        <f t="array" ref="L106">VALUE(_xlfn.IFS(ISERROR(FIND("(",C106,1)),C106,TRUE,MID(C106,FIND("(",C106,1)+1,LEN(C106)-FIND("(",C106,1)-1)))</f>
        <v>1</v>
      </c>
      <c r="N106" t="str">
        <f>_xlfn.LET(_xlpm.count, _xlfn.MAXIFS('DWG NO.ALL'!D:D,'DWG NO.ALL'!B:B,I106), IF(_xlpm.count=L106, "-", _xlpm.count))</f>
        <v>-</v>
      </c>
    </row>
    <row r="107" spans="1:14" ht="16.5">
      <c r="A107" s="3" t="s">
        <v>217</v>
      </c>
      <c r="B107" s="4" t="s">
        <v>218</v>
      </c>
      <c r="C107" s="4">
        <v>7</v>
      </c>
      <c r="D107" s="5">
        <v>45947</v>
      </c>
      <c r="E107" s="5">
        <v>45973</v>
      </c>
      <c r="F107" s="7"/>
      <c r="G107" s="8"/>
      <c r="H107" s="4" t="s">
        <v>218</v>
      </c>
      <c r="I107" t="str">
        <f t="shared" si="3"/>
        <v>P-22216</v>
      </c>
      <c r="J107" s="12">
        <f t="shared" si="4"/>
        <v>45973</v>
      </c>
      <c r="K107" s="13" t="str">
        <f t="shared" si="5"/>
        <v>0</v>
      </c>
      <c r="L107" s="13" cm="1">
        <f t="array" ref="L107">VALUE(_xlfn.IFS(ISERROR(FIND("(",C107,1)),C107,TRUE,MID(C107,FIND("(",C107,1)+1,LEN(C107)-FIND("(",C107,1)-1)))</f>
        <v>7</v>
      </c>
      <c r="N107" t="str">
        <f>_xlfn.LET(_xlpm.count, _xlfn.MAXIFS('DWG NO.ALL'!D:D,'DWG NO.ALL'!B:B,I107), IF(_xlpm.count=L107, "-", _xlpm.count))</f>
        <v>-</v>
      </c>
    </row>
    <row r="108" spans="1:14" ht="16.5">
      <c r="A108" s="3" t="s">
        <v>219</v>
      </c>
      <c r="B108" s="4" t="s">
        <v>220</v>
      </c>
      <c r="C108" s="4">
        <v>1</v>
      </c>
      <c r="D108" s="5">
        <v>45947</v>
      </c>
      <c r="E108" s="5">
        <v>45973</v>
      </c>
      <c r="F108" s="7"/>
      <c r="G108" s="8"/>
      <c r="H108" s="4" t="s">
        <v>220</v>
      </c>
      <c r="I108" t="str">
        <f t="shared" si="3"/>
        <v>P-22218</v>
      </c>
      <c r="J108" s="12">
        <f t="shared" si="4"/>
        <v>45973</v>
      </c>
      <c r="K108" s="13" t="str">
        <f t="shared" si="5"/>
        <v>0</v>
      </c>
      <c r="L108" s="13" cm="1">
        <f t="array" ref="L108">VALUE(_xlfn.IFS(ISERROR(FIND("(",C108,1)),C108,TRUE,MID(C108,FIND("(",C108,1)+1,LEN(C108)-FIND("(",C108,1)-1)))</f>
        <v>1</v>
      </c>
      <c r="N108" t="str">
        <f>_xlfn.LET(_xlpm.count, _xlfn.MAXIFS('DWG NO.ALL'!D:D,'DWG NO.ALL'!B:B,I108), IF(_xlpm.count=L108, "-", _xlpm.count))</f>
        <v>-</v>
      </c>
    </row>
    <row r="109" spans="1:14" ht="16.5">
      <c r="A109" s="3" t="s">
        <v>221</v>
      </c>
      <c r="B109" s="4" t="s">
        <v>222</v>
      </c>
      <c r="C109" s="4">
        <v>4</v>
      </c>
      <c r="D109" s="5">
        <v>45947</v>
      </c>
      <c r="E109" s="5">
        <v>45973</v>
      </c>
      <c r="F109" s="7"/>
      <c r="G109" s="8"/>
      <c r="H109" s="4" t="s">
        <v>222</v>
      </c>
      <c r="I109" t="str">
        <f t="shared" si="3"/>
        <v>P-22230</v>
      </c>
      <c r="J109" s="12">
        <f t="shared" si="4"/>
        <v>45973</v>
      </c>
      <c r="K109" s="13" t="str">
        <f t="shared" si="5"/>
        <v>0</v>
      </c>
      <c r="L109" s="13" cm="1">
        <f t="array" ref="L109">VALUE(_xlfn.IFS(ISERROR(FIND("(",C109,1)),C109,TRUE,MID(C109,FIND("(",C109,1)+1,LEN(C109)-FIND("(",C109,1)-1)))</f>
        <v>4</v>
      </c>
      <c r="N109" t="str">
        <f>_xlfn.LET(_xlpm.count, _xlfn.MAXIFS('DWG NO.ALL'!D:D,'DWG NO.ALL'!B:B,I109), IF(_xlpm.count=L109, "-", _xlpm.count))</f>
        <v>-</v>
      </c>
    </row>
    <row r="110" spans="1:14" ht="16.5">
      <c r="A110" s="3" t="s">
        <v>223</v>
      </c>
      <c r="B110" s="4" t="s">
        <v>224</v>
      </c>
      <c r="C110" s="4">
        <v>2</v>
      </c>
      <c r="D110" s="5">
        <v>45947</v>
      </c>
      <c r="E110" s="5">
        <v>45973</v>
      </c>
      <c r="F110" s="7"/>
      <c r="G110" s="8"/>
      <c r="H110" s="4" t="s">
        <v>224</v>
      </c>
      <c r="I110" t="str">
        <f t="shared" si="3"/>
        <v>P-22231</v>
      </c>
      <c r="J110" s="12">
        <f t="shared" si="4"/>
        <v>45973</v>
      </c>
      <c r="K110" s="13" t="str">
        <f t="shared" si="5"/>
        <v>0</v>
      </c>
      <c r="L110" s="13" cm="1">
        <f t="array" ref="L110">VALUE(_xlfn.IFS(ISERROR(FIND("(",C110,1)),C110,TRUE,MID(C110,FIND("(",C110,1)+1,LEN(C110)-FIND("(",C110,1)-1)))</f>
        <v>2</v>
      </c>
      <c r="N110" t="str">
        <f>_xlfn.LET(_xlpm.count, _xlfn.MAXIFS('DWG NO.ALL'!D:D,'DWG NO.ALL'!B:B,I110), IF(_xlpm.count=L110, "-", _xlpm.count))</f>
        <v>-</v>
      </c>
    </row>
    <row r="111" spans="1:14" ht="16.5">
      <c r="A111" s="3" t="s">
        <v>225</v>
      </c>
      <c r="B111" s="4" t="s">
        <v>226</v>
      </c>
      <c r="C111" s="4">
        <v>2</v>
      </c>
      <c r="D111" s="5">
        <v>45947</v>
      </c>
      <c r="E111" s="5">
        <v>45973</v>
      </c>
      <c r="F111" s="7"/>
      <c r="G111" s="8"/>
      <c r="H111" s="4" t="s">
        <v>226</v>
      </c>
      <c r="I111" t="str">
        <f t="shared" si="3"/>
        <v>P-22233</v>
      </c>
      <c r="J111" s="12">
        <f t="shared" si="4"/>
        <v>45973</v>
      </c>
      <c r="K111" s="13" t="str">
        <f t="shared" si="5"/>
        <v>0</v>
      </c>
      <c r="L111" s="13" cm="1">
        <f t="array" ref="L111">VALUE(_xlfn.IFS(ISERROR(FIND("(",C111,1)),C111,TRUE,MID(C111,FIND("(",C111,1)+1,LEN(C111)-FIND("(",C111,1)-1)))</f>
        <v>2</v>
      </c>
      <c r="N111" t="str">
        <f>_xlfn.LET(_xlpm.count, _xlfn.MAXIFS('DWG NO.ALL'!D:D,'DWG NO.ALL'!B:B,I111), IF(_xlpm.count=L111, "-", _xlpm.count))</f>
        <v>-</v>
      </c>
    </row>
    <row r="112" spans="1:14" ht="16.5">
      <c r="A112" s="3" t="s">
        <v>227</v>
      </c>
      <c r="B112" s="4" t="s">
        <v>228</v>
      </c>
      <c r="C112" s="4">
        <v>1</v>
      </c>
      <c r="D112" s="5">
        <v>45947</v>
      </c>
      <c r="E112" s="5">
        <v>45973</v>
      </c>
      <c r="F112" s="7"/>
      <c r="G112" s="8"/>
      <c r="H112" s="4" t="s">
        <v>228</v>
      </c>
      <c r="I112" t="str">
        <f t="shared" si="3"/>
        <v>P-22234</v>
      </c>
      <c r="J112" s="12">
        <f t="shared" si="4"/>
        <v>45973</v>
      </c>
      <c r="K112" s="13" t="str">
        <f t="shared" si="5"/>
        <v>0</v>
      </c>
      <c r="L112" s="13" cm="1">
        <f t="array" ref="L112">VALUE(_xlfn.IFS(ISERROR(FIND("(",C112,1)),C112,TRUE,MID(C112,FIND("(",C112,1)+1,LEN(C112)-FIND("(",C112,1)-1)))</f>
        <v>1</v>
      </c>
      <c r="N112" t="str">
        <f>_xlfn.LET(_xlpm.count, _xlfn.MAXIFS('DWG NO.ALL'!D:D,'DWG NO.ALL'!B:B,I112), IF(_xlpm.count=L112, "-", _xlpm.count))</f>
        <v>-</v>
      </c>
    </row>
    <row r="113" spans="1:14" ht="16.5">
      <c r="A113" s="3" t="s">
        <v>229</v>
      </c>
      <c r="B113" s="4" t="s">
        <v>230</v>
      </c>
      <c r="C113" s="4">
        <v>1</v>
      </c>
      <c r="D113" s="5">
        <v>45947</v>
      </c>
      <c r="E113" s="5">
        <v>45973</v>
      </c>
      <c r="F113" s="7"/>
      <c r="G113" s="8"/>
      <c r="H113" s="4" t="s">
        <v>230</v>
      </c>
      <c r="I113" t="str">
        <f t="shared" si="3"/>
        <v>P-22235</v>
      </c>
      <c r="J113" s="12">
        <f t="shared" si="4"/>
        <v>45973</v>
      </c>
      <c r="K113" s="13" t="str">
        <f t="shared" si="5"/>
        <v>0</v>
      </c>
      <c r="L113" s="13" cm="1">
        <f t="array" ref="L113">VALUE(_xlfn.IFS(ISERROR(FIND("(",C113,1)),C113,TRUE,MID(C113,FIND("(",C113,1)+1,LEN(C113)-FIND("(",C113,1)-1)))</f>
        <v>1</v>
      </c>
      <c r="N113" t="str">
        <f>_xlfn.LET(_xlpm.count, _xlfn.MAXIFS('DWG NO.ALL'!D:D,'DWG NO.ALL'!B:B,I113), IF(_xlpm.count=L113, "-", _xlpm.count))</f>
        <v>-</v>
      </c>
    </row>
    <row r="114" spans="1:14" ht="16.5">
      <c r="A114" s="3" t="s">
        <v>231</v>
      </c>
      <c r="B114" s="4" t="s">
        <v>232</v>
      </c>
      <c r="C114" s="4">
        <v>2</v>
      </c>
      <c r="D114" s="5">
        <v>45947</v>
      </c>
      <c r="E114" s="5">
        <v>45973</v>
      </c>
      <c r="F114" s="7"/>
      <c r="G114" s="8"/>
      <c r="H114" s="4" t="s">
        <v>232</v>
      </c>
      <c r="I114" t="str">
        <f t="shared" si="3"/>
        <v>PA-22361</v>
      </c>
      <c r="J114" s="12">
        <f t="shared" si="4"/>
        <v>45973</v>
      </c>
      <c r="K114" s="13" t="str">
        <f t="shared" si="5"/>
        <v>0</v>
      </c>
      <c r="L114" s="13" cm="1">
        <f t="array" ref="L114">VALUE(_xlfn.IFS(ISERROR(FIND("(",C114,1)),C114,TRUE,MID(C114,FIND("(",C114,1)+1,LEN(C114)-FIND("(",C114,1)-1)))</f>
        <v>2</v>
      </c>
      <c r="N114" t="str">
        <f>_xlfn.LET(_xlpm.count, _xlfn.MAXIFS('DWG NO.ALL'!D:D,'DWG NO.ALL'!B:B,I114), IF(_xlpm.count=L114, "-", _xlpm.count))</f>
        <v>-</v>
      </c>
    </row>
    <row r="115" spans="1:14" ht="16.5">
      <c r="A115" s="3" t="s">
        <v>233</v>
      </c>
      <c r="B115" s="4" t="s">
        <v>234</v>
      </c>
      <c r="C115" s="4">
        <v>1</v>
      </c>
      <c r="D115" s="5">
        <v>45947</v>
      </c>
      <c r="E115" s="5">
        <v>45973</v>
      </c>
      <c r="F115" s="7"/>
      <c r="G115" s="8"/>
      <c r="H115" s="4" t="s">
        <v>234</v>
      </c>
      <c r="I115" t="str">
        <f t="shared" si="3"/>
        <v>PA-22362</v>
      </c>
      <c r="J115" s="12">
        <f t="shared" si="4"/>
        <v>45973</v>
      </c>
      <c r="K115" s="13" t="str">
        <f t="shared" si="5"/>
        <v>0</v>
      </c>
      <c r="L115" s="13" cm="1">
        <f t="array" ref="L115">VALUE(_xlfn.IFS(ISERROR(FIND("(",C115,1)),C115,TRUE,MID(C115,FIND("(",C115,1)+1,LEN(C115)-FIND("(",C115,1)-1)))</f>
        <v>1</v>
      </c>
      <c r="N115" t="str">
        <f>_xlfn.LET(_xlpm.count, _xlfn.MAXIFS('DWG NO.ALL'!D:D,'DWG NO.ALL'!B:B,I115), IF(_xlpm.count=L115, "-", _xlpm.count))</f>
        <v>-</v>
      </c>
    </row>
    <row r="116" spans="1:14" ht="16.5">
      <c r="A116" s="3" t="s">
        <v>235</v>
      </c>
      <c r="B116" s="4" t="s">
        <v>236</v>
      </c>
      <c r="C116" s="4">
        <v>1</v>
      </c>
      <c r="D116" s="5">
        <v>45947</v>
      </c>
      <c r="E116" s="5">
        <v>45973</v>
      </c>
      <c r="F116" s="7"/>
      <c r="G116" s="8"/>
      <c r="H116" s="4" t="s">
        <v>236</v>
      </c>
      <c r="I116" t="str">
        <f t="shared" si="3"/>
        <v>PA-22363</v>
      </c>
      <c r="J116" s="12">
        <f t="shared" si="4"/>
        <v>45973</v>
      </c>
      <c r="K116" s="13" t="str">
        <f t="shared" si="5"/>
        <v>0</v>
      </c>
      <c r="L116" s="13" cm="1">
        <f t="array" ref="L116">VALUE(_xlfn.IFS(ISERROR(FIND("(",C116,1)),C116,TRUE,MID(C116,FIND("(",C116,1)+1,LEN(C116)-FIND("(",C116,1)-1)))</f>
        <v>1</v>
      </c>
      <c r="N116" t="str">
        <f>_xlfn.LET(_xlpm.count, _xlfn.MAXIFS('DWG NO.ALL'!D:D,'DWG NO.ALL'!B:B,I116), IF(_xlpm.count=L116, "-", _xlpm.count))</f>
        <v>-</v>
      </c>
    </row>
    <row r="117" spans="1:14" ht="16.5">
      <c r="A117" s="3" t="s">
        <v>237</v>
      </c>
      <c r="B117" s="4" t="s">
        <v>238</v>
      </c>
      <c r="C117" s="4">
        <v>1</v>
      </c>
      <c r="D117" s="5">
        <v>45947</v>
      </c>
      <c r="E117" s="5">
        <v>45973</v>
      </c>
      <c r="F117" s="7"/>
      <c r="G117" s="8"/>
      <c r="H117" s="4" t="s">
        <v>238</v>
      </c>
      <c r="I117" t="str">
        <f t="shared" si="3"/>
        <v>PA-22364</v>
      </c>
      <c r="J117" s="12">
        <f t="shared" si="4"/>
        <v>45973</v>
      </c>
      <c r="K117" s="13" t="str">
        <f t="shared" si="5"/>
        <v>0</v>
      </c>
      <c r="L117" s="13" cm="1">
        <f t="array" ref="L117">VALUE(_xlfn.IFS(ISERROR(FIND("(",C117,1)),C117,TRUE,MID(C117,FIND("(",C117,1)+1,LEN(C117)-FIND("(",C117,1)-1)))</f>
        <v>1</v>
      </c>
      <c r="N117" t="str">
        <f>_xlfn.LET(_xlpm.count, _xlfn.MAXIFS('DWG NO.ALL'!D:D,'DWG NO.ALL'!B:B,I117), IF(_xlpm.count=L117, "-", _xlpm.count))</f>
        <v>-</v>
      </c>
    </row>
    <row r="118" spans="1:14" ht="16.5">
      <c r="A118" s="3" t="s">
        <v>239</v>
      </c>
      <c r="B118" s="4" t="s">
        <v>240</v>
      </c>
      <c r="C118" s="4">
        <v>1</v>
      </c>
      <c r="D118" s="5">
        <v>45947</v>
      </c>
      <c r="E118" s="5">
        <v>45973</v>
      </c>
      <c r="F118" s="7"/>
      <c r="G118" s="8"/>
      <c r="H118" s="4" t="s">
        <v>240</v>
      </c>
      <c r="I118" t="str">
        <f t="shared" si="3"/>
        <v>PA-22365</v>
      </c>
      <c r="J118" s="12">
        <f t="shared" si="4"/>
        <v>45973</v>
      </c>
      <c r="K118" s="13" t="str">
        <f t="shared" si="5"/>
        <v>0</v>
      </c>
      <c r="L118" s="13" cm="1">
        <f t="array" ref="L118">VALUE(_xlfn.IFS(ISERROR(FIND("(",C118,1)),C118,TRUE,MID(C118,FIND("(",C118,1)+1,LEN(C118)-FIND("(",C118,1)-1)))</f>
        <v>1</v>
      </c>
      <c r="N118" t="str">
        <f>_xlfn.LET(_xlpm.count, _xlfn.MAXIFS('DWG NO.ALL'!D:D,'DWG NO.ALL'!B:B,I118), IF(_xlpm.count=L118, "-", _xlpm.count))</f>
        <v>-</v>
      </c>
    </row>
    <row r="119" spans="1:14" ht="16.5">
      <c r="A119" s="3" t="s">
        <v>241</v>
      </c>
      <c r="B119" s="4" t="s">
        <v>242</v>
      </c>
      <c r="C119" s="4">
        <v>1</v>
      </c>
      <c r="D119" s="5">
        <v>45947</v>
      </c>
      <c r="E119" s="5">
        <v>45973</v>
      </c>
      <c r="F119" s="7"/>
      <c r="G119" s="8"/>
      <c r="H119" s="4" t="s">
        <v>242</v>
      </c>
      <c r="I119" t="str">
        <f t="shared" si="3"/>
        <v>PA-22366</v>
      </c>
      <c r="J119" s="12">
        <f t="shared" si="4"/>
        <v>45973</v>
      </c>
      <c r="K119" s="13" t="str">
        <f t="shared" si="5"/>
        <v>0</v>
      </c>
      <c r="L119" s="13" cm="1">
        <f t="array" ref="L119">VALUE(_xlfn.IFS(ISERROR(FIND("(",C119,1)),C119,TRUE,MID(C119,FIND("(",C119,1)+1,LEN(C119)-FIND("(",C119,1)-1)))</f>
        <v>1</v>
      </c>
      <c r="N119" t="str">
        <f>_xlfn.LET(_xlpm.count, _xlfn.MAXIFS('DWG NO.ALL'!D:D,'DWG NO.ALL'!B:B,I119), IF(_xlpm.count=L119, "-", _xlpm.count))</f>
        <v>-</v>
      </c>
    </row>
    <row r="120" spans="1:14" ht="16.5">
      <c r="A120" s="3" t="s">
        <v>243</v>
      </c>
      <c r="B120" s="4" t="s">
        <v>244</v>
      </c>
      <c r="C120" s="4">
        <v>1</v>
      </c>
      <c r="D120" s="5">
        <v>45947</v>
      </c>
      <c r="E120" s="5">
        <v>45973</v>
      </c>
      <c r="F120" s="7"/>
      <c r="G120" s="8"/>
      <c r="H120" s="4" t="s">
        <v>244</v>
      </c>
      <c r="I120" t="str">
        <f t="shared" si="3"/>
        <v>PA-22367</v>
      </c>
      <c r="J120" s="12">
        <f t="shared" si="4"/>
        <v>45973</v>
      </c>
      <c r="K120" s="13" t="str">
        <f t="shared" si="5"/>
        <v>0</v>
      </c>
      <c r="L120" s="13" cm="1">
        <f t="array" ref="L120">VALUE(_xlfn.IFS(ISERROR(FIND("(",C120,1)),C120,TRUE,MID(C120,FIND("(",C120,1)+1,LEN(C120)-FIND("(",C120,1)-1)))</f>
        <v>1</v>
      </c>
      <c r="N120" t="str">
        <f>_xlfn.LET(_xlpm.count, _xlfn.MAXIFS('DWG NO.ALL'!D:D,'DWG NO.ALL'!B:B,I120), IF(_xlpm.count=L120, "-", _xlpm.count))</f>
        <v>-</v>
      </c>
    </row>
    <row r="121" spans="1:14" ht="16.5">
      <c r="A121" s="3" t="s">
        <v>245</v>
      </c>
      <c r="B121" s="4" t="s">
        <v>246</v>
      </c>
      <c r="C121" s="4">
        <v>1</v>
      </c>
      <c r="D121" s="5">
        <v>45947</v>
      </c>
      <c r="E121" s="5">
        <v>45973</v>
      </c>
      <c r="F121" s="7"/>
      <c r="G121" s="8"/>
      <c r="H121" s="4" t="s">
        <v>246</v>
      </c>
      <c r="I121" t="str">
        <f t="shared" si="3"/>
        <v>PA-22368</v>
      </c>
      <c r="J121" s="12">
        <f t="shared" si="4"/>
        <v>45973</v>
      </c>
      <c r="K121" s="13" t="str">
        <f t="shared" si="5"/>
        <v>0</v>
      </c>
      <c r="L121" s="13" cm="1">
        <f t="array" ref="L121">VALUE(_xlfn.IFS(ISERROR(FIND("(",C121,1)),C121,TRUE,MID(C121,FIND("(",C121,1)+1,LEN(C121)-FIND("(",C121,1)-1)))</f>
        <v>1</v>
      </c>
      <c r="N121" t="str">
        <f>_xlfn.LET(_xlpm.count, _xlfn.MAXIFS('DWG NO.ALL'!D:D,'DWG NO.ALL'!B:B,I121), IF(_xlpm.count=L121, "-", _xlpm.count))</f>
        <v>-</v>
      </c>
    </row>
    <row r="122" spans="1:14" ht="16.5">
      <c r="A122" s="3" t="s">
        <v>247</v>
      </c>
      <c r="B122" s="4" t="s">
        <v>248</v>
      </c>
      <c r="C122" s="4">
        <v>1</v>
      </c>
      <c r="D122" s="5">
        <v>45947</v>
      </c>
      <c r="E122" s="5">
        <v>45973</v>
      </c>
      <c r="F122" s="7"/>
      <c r="G122" s="8"/>
      <c r="H122" s="4" t="s">
        <v>248</v>
      </c>
      <c r="I122" t="str">
        <f t="shared" si="3"/>
        <v>PW2-22101</v>
      </c>
      <c r="J122" s="12">
        <f t="shared" si="4"/>
        <v>45973</v>
      </c>
      <c r="K122" s="13" t="str">
        <f t="shared" si="5"/>
        <v>0</v>
      </c>
      <c r="L122" s="13" cm="1">
        <f t="array" ref="L122">VALUE(_xlfn.IFS(ISERROR(FIND("(",C122,1)),C122,TRUE,MID(C122,FIND("(",C122,1)+1,LEN(C122)-FIND("(",C122,1)-1)))</f>
        <v>1</v>
      </c>
      <c r="N122" t="str">
        <f>_xlfn.LET(_xlpm.count, _xlfn.MAXIFS('DWG NO.ALL'!D:D,'DWG NO.ALL'!B:B,I122), IF(_xlpm.count=L122, "-", _xlpm.count))</f>
        <v>-</v>
      </c>
    </row>
    <row r="123" spans="1:14" ht="16.5">
      <c r="A123" s="3" t="s">
        <v>249</v>
      </c>
      <c r="B123" s="4" t="s">
        <v>250</v>
      </c>
      <c r="C123" s="4">
        <v>3</v>
      </c>
      <c r="D123" s="5">
        <v>45947</v>
      </c>
      <c r="E123" s="5">
        <v>45973</v>
      </c>
      <c r="F123" s="7"/>
      <c r="G123" s="8"/>
      <c r="H123" s="4" t="s">
        <v>250</v>
      </c>
      <c r="I123" t="str">
        <f t="shared" si="3"/>
        <v>PW2-22371</v>
      </c>
      <c r="J123" s="12">
        <f t="shared" si="4"/>
        <v>45973</v>
      </c>
      <c r="K123" s="13" t="str">
        <f t="shared" si="5"/>
        <v>0</v>
      </c>
      <c r="L123" s="13" cm="1">
        <f t="array" ref="L123">VALUE(_xlfn.IFS(ISERROR(FIND("(",C123,1)),C123,TRUE,MID(C123,FIND("(",C123,1)+1,LEN(C123)-FIND("(",C123,1)-1)))</f>
        <v>3</v>
      </c>
      <c r="N123" t="str">
        <f>_xlfn.LET(_xlpm.count, _xlfn.MAXIFS('DWG NO.ALL'!D:D,'DWG NO.ALL'!B:B,I123), IF(_xlpm.count=L123, "-", _xlpm.count))</f>
        <v>-</v>
      </c>
    </row>
    <row r="124" spans="1:14" ht="16.5">
      <c r="A124" s="3" t="s">
        <v>251</v>
      </c>
      <c r="B124" s="4" t="s">
        <v>252</v>
      </c>
      <c r="C124" s="4">
        <v>1</v>
      </c>
      <c r="D124" s="5">
        <v>45947</v>
      </c>
      <c r="E124" s="5">
        <v>45973</v>
      </c>
      <c r="F124" s="7"/>
      <c r="G124" s="8"/>
      <c r="H124" s="4" t="s">
        <v>252</v>
      </c>
      <c r="I124" t="str">
        <f t="shared" si="3"/>
        <v>PW2-22372</v>
      </c>
      <c r="J124" s="12">
        <f t="shared" si="4"/>
        <v>45973</v>
      </c>
      <c r="K124" s="13" t="str">
        <f t="shared" si="5"/>
        <v>0</v>
      </c>
      <c r="L124" s="13" cm="1">
        <f t="array" ref="L124">VALUE(_xlfn.IFS(ISERROR(FIND("(",C124,1)),C124,TRUE,MID(C124,FIND("(",C124,1)+1,LEN(C124)-FIND("(",C124,1)-1)))</f>
        <v>1</v>
      </c>
      <c r="N124" t="str">
        <f>_xlfn.LET(_xlpm.count, _xlfn.MAXIFS('DWG NO.ALL'!D:D,'DWG NO.ALL'!B:B,I124), IF(_xlpm.count=L124, "-", _xlpm.count))</f>
        <v>-</v>
      </c>
    </row>
    <row r="125" spans="1:14" ht="16.5">
      <c r="A125" s="3" t="s">
        <v>253</v>
      </c>
      <c r="B125" s="4" t="s">
        <v>254</v>
      </c>
      <c r="C125" s="4">
        <v>1</v>
      </c>
      <c r="D125" s="5">
        <v>45947</v>
      </c>
      <c r="E125" s="5">
        <v>45973</v>
      </c>
      <c r="F125" s="7"/>
      <c r="G125" s="8"/>
      <c r="H125" s="4" t="s">
        <v>254</v>
      </c>
      <c r="I125" t="str">
        <f t="shared" si="3"/>
        <v>PW2-22373</v>
      </c>
      <c r="J125" s="12">
        <f t="shared" si="4"/>
        <v>45973</v>
      </c>
      <c r="K125" s="13" t="str">
        <f t="shared" si="5"/>
        <v>0</v>
      </c>
      <c r="L125" s="13" cm="1">
        <f t="array" ref="L125">VALUE(_xlfn.IFS(ISERROR(FIND("(",C125,1)),C125,TRUE,MID(C125,FIND("(",C125,1)+1,LEN(C125)-FIND("(",C125,1)-1)))</f>
        <v>1</v>
      </c>
      <c r="N125" t="str">
        <f>_xlfn.LET(_xlpm.count, _xlfn.MAXIFS('DWG NO.ALL'!D:D,'DWG NO.ALL'!B:B,I125), IF(_xlpm.count=L125, "-", _xlpm.count))</f>
        <v>-</v>
      </c>
    </row>
    <row r="126" spans="1:14" ht="16.5">
      <c r="A126" s="3" t="s">
        <v>255</v>
      </c>
      <c r="B126" s="4" t="s">
        <v>256</v>
      </c>
      <c r="C126" s="4">
        <v>1</v>
      </c>
      <c r="D126" s="5">
        <v>45947</v>
      </c>
      <c r="E126" s="5">
        <v>45973</v>
      </c>
      <c r="F126" s="7"/>
      <c r="G126" s="8"/>
      <c r="H126" s="4" t="s">
        <v>256</v>
      </c>
      <c r="I126" t="str">
        <f t="shared" si="3"/>
        <v>PW2-22374</v>
      </c>
      <c r="J126" s="12">
        <f t="shared" si="4"/>
        <v>45973</v>
      </c>
      <c r="K126" s="13" t="str">
        <f t="shared" si="5"/>
        <v>0</v>
      </c>
      <c r="L126" s="13" cm="1">
        <f t="array" ref="L126">VALUE(_xlfn.IFS(ISERROR(FIND("(",C126,1)),C126,TRUE,MID(C126,FIND("(",C126,1)+1,LEN(C126)-FIND("(",C126,1)-1)))</f>
        <v>1</v>
      </c>
      <c r="N126" t="str">
        <f>_xlfn.LET(_xlpm.count, _xlfn.MAXIFS('DWG NO.ALL'!D:D,'DWG NO.ALL'!B:B,I126), IF(_xlpm.count=L126, "-", _xlpm.count))</f>
        <v>-</v>
      </c>
    </row>
    <row r="127" spans="1:14" ht="16.5">
      <c r="A127" s="3" t="s">
        <v>257</v>
      </c>
      <c r="B127" s="4" t="s">
        <v>258</v>
      </c>
      <c r="C127" s="4">
        <v>1</v>
      </c>
      <c r="D127" s="5">
        <v>45947</v>
      </c>
      <c r="E127" s="5">
        <v>45973</v>
      </c>
      <c r="F127" s="7"/>
      <c r="G127" s="8"/>
      <c r="H127" s="4" t="s">
        <v>258</v>
      </c>
      <c r="I127" t="str">
        <f t="shared" si="3"/>
        <v>PW2-22375</v>
      </c>
      <c r="J127" s="12">
        <f t="shared" si="4"/>
        <v>45973</v>
      </c>
      <c r="K127" s="13" t="str">
        <f t="shared" si="5"/>
        <v>0</v>
      </c>
      <c r="L127" s="13" cm="1">
        <f t="array" ref="L127">VALUE(_xlfn.IFS(ISERROR(FIND("(",C127,1)),C127,TRUE,MID(C127,FIND("(",C127,1)+1,LEN(C127)-FIND("(",C127,1)-1)))</f>
        <v>1</v>
      </c>
      <c r="N127" t="str">
        <f>_xlfn.LET(_xlpm.count, _xlfn.MAXIFS('DWG NO.ALL'!D:D,'DWG NO.ALL'!B:B,I127), IF(_xlpm.count=L127, "-", _xlpm.count))</f>
        <v>-</v>
      </c>
    </row>
    <row r="128" spans="1:14" ht="16.5">
      <c r="A128" s="3" t="s">
        <v>259</v>
      </c>
      <c r="B128" s="4" t="s">
        <v>260</v>
      </c>
      <c r="C128" s="4">
        <v>1</v>
      </c>
      <c r="D128" s="5">
        <v>45947</v>
      </c>
      <c r="E128" s="5">
        <v>45973</v>
      </c>
      <c r="F128" s="7"/>
      <c r="G128" s="8"/>
      <c r="H128" s="4" t="s">
        <v>260</v>
      </c>
      <c r="I128" t="str">
        <f t="shared" si="3"/>
        <v>PW2-22376</v>
      </c>
      <c r="J128" s="12">
        <f t="shared" si="4"/>
        <v>45973</v>
      </c>
      <c r="K128" s="13" t="str">
        <f t="shared" si="5"/>
        <v>0</v>
      </c>
      <c r="L128" s="13" cm="1">
        <f t="array" ref="L128">VALUE(_xlfn.IFS(ISERROR(FIND("(",C128,1)),C128,TRUE,MID(C128,FIND("(",C128,1)+1,LEN(C128)-FIND("(",C128,1)-1)))</f>
        <v>1</v>
      </c>
      <c r="N128" t="str">
        <f>_xlfn.LET(_xlpm.count, _xlfn.MAXIFS('DWG NO.ALL'!D:D,'DWG NO.ALL'!B:B,I128), IF(_xlpm.count=L128, "-", _xlpm.count))</f>
        <v>-</v>
      </c>
    </row>
    <row r="129" spans="1:14" ht="16.5">
      <c r="A129" s="3" t="s">
        <v>261</v>
      </c>
      <c r="B129" s="4" t="s">
        <v>262</v>
      </c>
      <c r="C129" s="4">
        <v>1</v>
      </c>
      <c r="D129" s="5">
        <v>45947</v>
      </c>
      <c r="E129" s="5">
        <v>45973</v>
      </c>
      <c r="F129" s="7"/>
      <c r="G129" s="8"/>
      <c r="H129" s="4" t="s">
        <v>262</v>
      </c>
      <c r="I129" t="str">
        <f t="shared" si="3"/>
        <v>PW2-22377</v>
      </c>
      <c r="J129" s="12">
        <f t="shared" si="4"/>
        <v>45973</v>
      </c>
      <c r="K129" s="13" t="str">
        <f t="shared" si="5"/>
        <v>0</v>
      </c>
      <c r="L129" s="13" cm="1">
        <f t="array" ref="L129">VALUE(_xlfn.IFS(ISERROR(FIND("(",C129,1)),C129,TRUE,MID(C129,FIND("(",C129,1)+1,LEN(C129)-FIND("(",C129,1)-1)))</f>
        <v>1</v>
      </c>
      <c r="N129" t="str">
        <f>_xlfn.LET(_xlpm.count, _xlfn.MAXIFS('DWG NO.ALL'!D:D,'DWG NO.ALL'!B:B,I129), IF(_xlpm.count=L129, "-", _xlpm.count))</f>
        <v>-</v>
      </c>
    </row>
    <row r="130" spans="1:14" ht="16.5">
      <c r="A130" s="3" t="s">
        <v>263</v>
      </c>
      <c r="B130" s="4" t="s">
        <v>264</v>
      </c>
      <c r="C130" s="4">
        <v>1</v>
      </c>
      <c r="D130" s="5">
        <v>45947</v>
      </c>
      <c r="E130" s="5">
        <v>45973</v>
      </c>
      <c r="F130" s="7"/>
      <c r="G130" s="8"/>
      <c r="H130" s="4" t="s">
        <v>264</v>
      </c>
      <c r="I130" t="str">
        <f t="shared" si="3"/>
        <v>PW2-22378</v>
      </c>
      <c r="J130" s="12">
        <f t="shared" si="4"/>
        <v>45973</v>
      </c>
      <c r="K130" s="13" t="str">
        <f t="shared" si="5"/>
        <v>0</v>
      </c>
      <c r="L130" s="13" cm="1">
        <f t="array" ref="L130">VALUE(_xlfn.IFS(ISERROR(FIND("(",C130,1)),C130,TRUE,MID(C130,FIND("(",C130,1)+1,LEN(C130)-FIND("(",C130,1)-1)))</f>
        <v>1</v>
      </c>
      <c r="N130" t="str">
        <f>_xlfn.LET(_xlpm.count, _xlfn.MAXIFS('DWG NO.ALL'!D:D,'DWG NO.ALL'!B:B,I130), IF(_xlpm.count=L130, "-", _xlpm.count))</f>
        <v>-</v>
      </c>
    </row>
    <row r="131" spans="1:14" ht="16.5">
      <c r="A131" s="3" t="s">
        <v>265</v>
      </c>
      <c r="B131" s="4" t="s">
        <v>266</v>
      </c>
      <c r="C131" s="4">
        <v>2</v>
      </c>
      <c r="D131" s="5">
        <v>45947</v>
      </c>
      <c r="E131" s="5">
        <v>45973</v>
      </c>
      <c r="F131" s="7"/>
      <c r="G131" s="8"/>
      <c r="H131" s="4" t="s">
        <v>266</v>
      </c>
      <c r="I131" t="str">
        <f t="shared" ref="I131:I185" si="6">_xlfn.LET(_xlpm.pos,IF(ISNUMBER(FIND("TRIM",B131)), 3, 2), _xlfn.TEXTBEFORE(B131, "-", _xlpm.pos))</f>
        <v>RH-22101</v>
      </c>
      <c r="J131" s="12">
        <f t="shared" ref="J131:J185" si="7">_xlfn.XLOOKUP("*",D131:F131,D131:F131,"",-1)</f>
        <v>45973</v>
      </c>
      <c r="K131" s="13" t="str">
        <f t="shared" ref="K131:K185" si="8">_xlfn.TEXTAFTER(_xlfn.XLOOKUP(J131,131:131,$1:$1), ".")</f>
        <v>0</v>
      </c>
      <c r="L131" s="13" cm="1">
        <f t="array" ref="L131">VALUE(_xlfn.IFS(ISERROR(FIND("(",C131,1)),C131,TRUE,MID(C131,FIND("(",C131,1)+1,LEN(C131)-FIND("(",C131,1)-1)))</f>
        <v>2</v>
      </c>
      <c r="N131" t="str">
        <f>_xlfn.LET(_xlpm.count, _xlfn.MAXIFS('DWG NO.ALL'!D:D,'DWG NO.ALL'!B:B,I131), IF(_xlpm.count=L131, "-", _xlpm.count))</f>
        <v>-</v>
      </c>
    </row>
    <row r="132" spans="1:14" ht="16.5">
      <c r="A132" s="3" t="s">
        <v>267</v>
      </c>
      <c r="B132" s="4" t="s">
        <v>268</v>
      </c>
      <c r="C132" s="4">
        <v>1</v>
      </c>
      <c r="D132" s="5">
        <v>45947</v>
      </c>
      <c r="E132" s="5">
        <v>45973</v>
      </c>
      <c r="F132" s="7"/>
      <c r="G132" s="8"/>
      <c r="H132" s="4" t="s">
        <v>268</v>
      </c>
      <c r="I132" t="str">
        <f t="shared" si="6"/>
        <v>RH-22102</v>
      </c>
      <c r="J132" s="12">
        <f t="shared" si="7"/>
        <v>45973</v>
      </c>
      <c r="K132" s="13" t="str">
        <f t="shared" si="8"/>
        <v>0</v>
      </c>
      <c r="L132" s="13" cm="1">
        <f t="array" ref="L132">VALUE(_xlfn.IFS(ISERROR(FIND("(",C132,1)),C132,TRUE,MID(C132,FIND("(",C132,1)+1,LEN(C132)-FIND("(",C132,1)-1)))</f>
        <v>1</v>
      </c>
      <c r="N132" t="str">
        <f>_xlfn.LET(_xlpm.count, _xlfn.MAXIFS('DWG NO.ALL'!D:D,'DWG NO.ALL'!B:B,I132), IF(_xlpm.count=L132, "-", _xlpm.count))</f>
        <v>-</v>
      </c>
    </row>
    <row r="133" spans="1:14" ht="16.5">
      <c r="A133" s="3" t="s">
        <v>269</v>
      </c>
      <c r="B133" s="4" t="s">
        <v>270</v>
      </c>
      <c r="C133" s="4">
        <v>2</v>
      </c>
      <c r="D133" s="5">
        <v>45947</v>
      </c>
      <c r="E133" s="5">
        <v>45973</v>
      </c>
      <c r="F133" s="7"/>
      <c r="G133" s="8"/>
      <c r="H133" s="4" t="s">
        <v>270</v>
      </c>
      <c r="I133" t="str">
        <f t="shared" si="6"/>
        <v>RH-22201</v>
      </c>
      <c r="J133" s="12">
        <f t="shared" si="7"/>
        <v>45973</v>
      </c>
      <c r="K133" s="13" t="str">
        <f t="shared" si="8"/>
        <v>0</v>
      </c>
      <c r="L133" s="13" cm="1">
        <f t="array" ref="L133">VALUE(_xlfn.IFS(ISERROR(FIND("(",C133,1)),C133,TRUE,MID(C133,FIND("(",C133,1)+1,LEN(C133)-FIND("(",C133,1)-1)))</f>
        <v>2</v>
      </c>
      <c r="N133" t="str">
        <f>_xlfn.LET(_xlpm.count, _xlfn.MAXIFS('DWG NO.ALL'!D:D,'DWG NO.ALL'!B:B,I133), IF(_xlpm.count=L133, "-", _xlpm.count))</f>
        <v>-</v>
      </c>
    </row>
    <row r="134" spans="1:14" ht="16.5">
      <c r="A134" s="3" t="s">
        <v>271</v>
      </c>
      <c r="B134" s="4" t="s">
        <v>272</v>
      </c>
      <c r="C134" s="4">
        <v>1</v>
      </c>
      <c r="D134" s="5">
        <v>45947</v>
      </c>
      <c r="E134" s="5">
        <v>45973</v>
      </c>
      <c r="F134" s="7"/>
      <c r="G134" s="8"/>
      <c r="H134" s="4" t="s">
        <v>272</v>
      </c>
      <c r="I134" t="str">
        <f t="shared" si="6"/>
        <v>RH-22202</v>
      </c>
      <c r="J134" s="12">
        <f t="shared" si="7"/>
        <v>45973</v>
      </c>
      <c r="K134" s="13" t="str">
        <f t="shared" si="8"/>
        <v>0</v>
      </c>
      <c r="L134" s="13" cm="1">
        <f t="array" ref="L134">VALUE(_xlfn.IFS(ISERROR(FIND("(",C134,1)),C134,TRUE,MID(C134,FIND("(",C134,1)+1,LEN(C134)-FIND("(",C134,1)-1)))</f>
        <v>1</v>
      </c>
      <c r="N134" t="str">
        <f>_xlfn.LET(_xlpm.count, _xlfn.MAXIFS('DWG NO.ALL'!D:D,'DWG NO.ALL'!B:B,I134), IF(_xlpm.count=L134, "-", _xlpm.count))</f>
        <v>-</v>
      </c>
    </row>
    <row r="135" spans="1:14" ht="16.5">
      <c r="A135" s="3" t="s">
        <v>273</v>
      </c>
      <c r="B135" s="4" t="s">
        <v>274</v>
      </c>
      <c r="C135" s="4">
        <v>2</v>
      </c>
      <c r="D135" s="5">
        <v>45947</v>
      </c>
      <c r="E135" s="5">
        <v>45973</v>
      </c>
      <c r="F135" s="7"/>
      <c r="G135" s="8"/>
      <c r="H135" s="4" t="s">
        <v>274</v>
      </c>
      <c r="I135" t="str">
        <f t="shared" si="6"/>
        <v>SW-22371</v>
      </c>
      <c r="J135" s="12">
        <f t="shared" si="7"/>
        <v>45973</v>
      </c>
      <c r="K135" s="13" t="str">
        <f t="shared" si="8"/>
        <v>0</v>
      </c>
      <c r="L135" s="13" cm="1">
        <f t="array" ref="L135">VALUE(_xlfn.IFS(ISERROR(FIND("(",C135,1)),C135,TRUE,MID(C135,FIND("(",C135,1)+1,LEN(C135)-FIND("(",C135,1)-1)))</f>
        <v>2</v>
      </c>
      <c r="N135" t="str">
        <f>_xlfn.LET(_xlpm.count, _xlfn.MAXIFS('DWG NO.ALL'!D:D,'DWG NO.ALL'!B:B,I135), IF(_xlpm.count=L135, "-", _xlpm.count))</f>
        <v>-</v>
      </c>
    </row>
    <row r="136" spans="1:14" ht="16.5">
      <c r="A136" s="3" t="s">
        <v>275</v>
      </c>
      <c r="B136" s="4" t="s">
        <v>276</v>
      </c>
      <c r="C136" s="4">
        <v>1</v>
      </c>
      <c r="D136" s="5">
        <v>45947</v>
      </c>
      <c r="E136" s="5">
        <v>45973</v>
      </c>
      <c r="F136" s="7"/>
      <c r="G136" s="8"/>
      <c r="H136" s="4" t="s">
        <v>276</v>
      </c>
      <c r="I136" t="str">
        <f t="shared" si="6"/>
        <v>SW-22372</v>
      </c>
      <c r="J136" s="12">
        <f t="shared" si="7"/>
        <v>45973</v>
      </c>
      <c r="K136" s="13" t="str">
        <f t="shared" si="8"/>
        <v>0</v>
      </c>
      <c r="L136" s="13" cm="1">
        <f t="array" ref="L136">VALUE(_xlfn.IFS(ISERROR(FIND("(",C136,1)),C136,TRUE,MID(C136,FIND("(",C136,1)+1,LEN(C136)-FIND("(",C136,1)-1)))</f>
        <v>1</v>
      </c>
      <c r="N136" t="str">
        <f>_xlfn.LET(_xlpm.count, _xlfn.MAXIFS('DWG NO.ALL'!D:D,'DWG NO.ALL'!B:B,I136), IF(_xlpm.count=L136, "-", _xlpm.count))</f>
        <v>-</v>
      </c>
    </row>
    <row r="137" spans="1:14" ht="16.5">
      <c r="A137" s="3" t="s">
        <v>277</v>
      </c>
      <c r="B137" s="4" t="s">
        <v>278</v>
      </c>
      <c r="C137" s="4">
        <v>1</v>
      </c>
      <c r="D137" s="5">
        <v>45947</v>
      </c>
      <c r="E137" s="5">
        <v>45973</v>
      </c>
      <c r="F137" s="7"/>
      <c r="G137" s="8"/>
      <c r="H137" s="4" t="s">
        <v>278</v>
      </c>
      <c r="I137" t="str">
        <f t="shared" si="6"/>
        <v>SW-22373</v>
      </c>
      <c r="J137" s="12">
        <f t="shared" si="7"/>
        <v>45973</v>
      </c>
      <c r="K137" s="13" t="str">
        <f t="shared" si="8"/>
        <v>0</v>
      </c>
      <c r="L137" s="13" cm="1">
        <f t="array" ref="L137">VALUE(_xlfn.IFS(ISERROR(FIND("(",C137,1)),C137,TRUE,MID(C137,FIND("(",C137,1)+1,LEN(C137)-FIND("(",C137,1)-1)))</f>
        <v>1</v>
      </c>
      <c r="N137" t="str">
        <f>_xlfn.LET(_xlpm.count, _xlfn.MAXIFS('DWG NO.ALL'!D:D,'DWG NO.ALL'!B:B,I137), IF(_xlpm.count=L137, "-", _xlpm.count))</f>
        <v>-</v>
      </c>
    </row>
    <row r="138" spans="1:14" ht="16.5">
      <c r="A138" s="3" t="s">
        <v>279</v>
      </c>
      <c r="B138" s="4" t="s">
        <v>280</v>
      </c>
      <c r="C138" s="4">
        <v>1</v>
      </c>
      <c r="D138" s="5">
        <v>45947</v>
      </c>
      <c r="E138" s="5">
        <v>45973</v>
      </c>
      <c r="F138" s="7"/>
      <c r="G138" s="8"/>
      <c r="H138" s="4" t="s">
        <v>280</v>
      </c>
      <c r="I138" t="str">
        <f t="shared" si="6"/>
        <v>SW-22374</v>
      </c>
      <c r="J138" s="12">
        <f t="shared" si="7"/>
        <v>45973</v>
      </c>
      <c r="K138" s="13" t="str">
        <f t="shared" si="8"/>
        <v>0</v>
      </c>
      <c r="L138" s="13" cm="1">
        <f t="array" ref="L138">VALUE(_xlfn.IFS(ISERROR(FIND("(",C138,1)),C138,TRUE,MID(C138,FIND("(",C138,1)+1,LEN(C138)-FIND("(",C138,1)-1)))</f>
        <v>1</v>
      </c>
      <c r="N138" t="str">
        <f>_xlfn.LET(_xlpm.count, _xlfn.MAXIFS('DWG NO.ALL'!D:D,'DWG NO.ALL'!B:B,I138), IF(_xlpm.count=L138, "-", _xlpm.count))</f>
        <v>-</v>
      </c>
    </row>
    <row r="139" spans="1:14" ht="16.5">
      <c r="A139" s="3" t="s">
        <v>281</v>
      </c>
      <c r="B139" s="4" t="s">
        <v>282</v>
      </c>
      <c r="C139" s="4">
        <v>1</v>
      </c>
      <c r="D139" s="5">
        <v>45947</v>
      </c>
      <c r="E139" s="5">
        <v>45973</v>
      </c>
      <c r="F139" s="7"/>
      <c r="G139" s="8"/>
      <c r="H139" s="4" t="s">
        <v>282</v>
      </c>
      <c r="I139" t="str">
        <f t="shared" si="6"/>
        <v>SW-22375</v>
      </c>
      <c r="J139" s="12">
        <f t="shared" si="7"/>
        <v>45973</v>
      </c>
      <c r="K139" s="13" t="str">
        <f t="shared" si="8"/>
        <v>0</v>
      </c>
      <c r="L139" s="13" cm="1">
        <f t="array" ref="L139">VALUE(_xlfn.IFS(ISERROR(FIND("(",C139,1)),C139,TRUE,MID(C139,FIND("(",C139,1)+1,LEN(C139)-FIND("(",C139,1)-1)))</f>
        <v>1</v>
      </c>
      <c r="N139" t="str">
        <f>_xlfn.LET(_xlpm.count, _xlfn.MAXIFS('DWG NO.ALL'!D:D,'DWG NO.ALL'!B:B,I139), IF(_xlpm.count=L139, "-", _xlpm.count))</f>
        <v>-</v>
      </c>
    </row>
    <row r="140" spans="1:14" ht="16.5">
      <c r="A140" s="3" t="s">
        <v>283</v>
      </c>
      <c r="B140" s="4" t="s">
        <v>284</v>
      </c>
      <c r="C140" s="4">
        <v>1</v>
      </c>
      <c r="D140" s="5">
        <v>45947</v>
      </c>
      <c r="E140" s="5">
        <v>45973</v>
      </c>
      <c r="F140" s="7"/>
      <c r="G140" s="8"/>
      <c r="H140" s="4" t="s">
        <v>284</v>
      </c>
      <c r="I140" t="str">
        <f t="shared" si="6"/>
        <v>SW-22376</v>
      </c>
      <c r="J140" s="12">
        <f t="shared" si="7"/>
        <v>45973</v>
      </c>
      <c r="K140" s="13" t="str">
        <f t="shared" si="8"/>
        <v>0</v>
      </c>
      <c r="L140" s="13" cm="1">
        <f t="array" ref="L140">VALUE(_xlfn.IFS(ISERROR(FIND("(",C140,1)),C140,TRUE,MID(C140,FIND("(",C140,1)+1,LEN(C140)-FIND("(",C140,1)-1)))</f>
        <v>1</v>
      </c>
      <c r="N140" t="str">
        <f>_xlfn.LET(_xlpm.count, _xlfn.MAXIFS('DWG NO.ALL'!D:D,'DWG NO.ALL'!B:B,I140), IF(_xlpm.count=L140, "-", _xlpm.count))</f>
        <v>-</v>
      </c>
    </row>
    <row r="141" spans="1:14" ht="16.5">
      <c r="A141" s="3" t="s">
        <v>285</v>
      </c>
      <c r="B141" s="4" t="s">
        <v>286</v>
      </c>
      <c r="C141" s="4">
        <v>1</v>
      </c>
      <c r="D141" s="5">
        <v>45947</v>
      </c>
      <c r="E141" s="5">
        <v>45973</v>
      </c>
      <c r="F141" s="7"/>
      <c r="G141" s="8"/>
      <c r="H141" s="4" t="s">
        <v>286</v>
      </c>
      <c r="I141" t="str">
        <f t="shared" si="6"/>
        <v>SW-22377</v>
      </c>
      <c r="J141" s="12">
        <f t="shared" si="7"/>
        <v>45973</v>
      </c>
      <c r="K141" s="13" t="str">
        <f t="shared" si="8"/>
        <v>0</v>
      </c>
      <c r="L141" s="13" cm="1">
        <f t="array" ref="L141">VALUE(_xlfn.IFS(ISERROR(FIND("(",C141,1)),C141,TRUE,MID(C141,FIND("(",C141,1)+1,LEN(C141)-FIND("(",C141,1)-1)))</f>
        <v>1</v>
      </c>
      <c r="N141" t="str">
        <f>_xlfn.LET(_xlpm.count, _xlfn.MAXIFS('DWG NO.ALL'!D:D,'DWG NO.ALL'!B:B,I141), IF(_xlpm.count=L141, "-", _xlpm.count))</f>
        <v>-</v>
      </c>
    </row>
    <row r="142" spans="1:14" ht="16.5">
      <c r="A142" s="3" t="s">
        <v>287</v>
      </c>
      <c r="B142" s="4" t="s">
        <v>288</v>
      </c>
      <c r="C142" s="4">
        <v>1</v>
      </c>
      <c r="D142" s="5">
        <v>45947</v>
      </c>
      <c r="E142" s="5">
        <v>45973</v>
      </c>
      <c r="F142" s="7"/>
      <c r="G142" s="8"/>
      <c r="H142" s="4" t="s">
        <v>288</v>
      </c>
      <c r="I142" t="str">
        <f t="shared" si="6"/>
        <v>TRIM-D2210-N35</v>
      </c>
      <c r="J142" s="12">
        <f t="shared" si="7"/>
        <v>45973</v>
      </c>
      <c r="K142" s="13" t="str">
        <f t="shared" si="8"/>
        <v>0</v>
      </c>
      <c r="L142" s="13" cm="1">
        <f t="array" ref="L142">VALUE(_xlfn.IFS(ISERROR(FIND("(",C142,1)),C142,TRUE,MID(C142,FIND("(",C142,1)+1,LEN(C142)-FIND("(",C142,1)-1)))</f>
        <v>1</v>
      </c>
      <c r="N142" t="str">
        <f>_xlfn.LET(_xlpm.count, _xlfn.MAXIFS('DWG NO.ALL'!D:D,'DWG NO.ALL'!B:B,I142), IF(_xlpm.count=L142, "-", _xlpm.count))</f>
        <v>-</v>
      </c>
    </row>
    <row r="143" spans="1:14" ht="16.5">
      <c r="A143" s="3" t="s">
        <v>289</v>
      </c>
      <c r="B143" s="4" t="s">
        <v>290</v>
      </c>
      <c r="C143" s="4">
        <v>1</v>
      </c>
      <c r="D143" s="5">
        <v>45947</v>
      </c>
      <c r="E143" s="5">
        <v>45973</v>
      </c>
      <c r="F143" s="7"/>
      <c r="G143" s="8"/>
      <c r="H143" s="4" t="s">
        <v>290</v>
      </c>
      <c r="I143" t="str">
        <f t="shared" si="6"/>
        <v>TRIM-D2210-N45AB</v>
      </c>
      <c r="J143" s="12">
        <f t="shared" si="7"/>
        <v>45973</v>
      </c>
      <c r="K143" s="13" t="str">
        <f t="shared" si="8"/>
        <v>0</v>
      </c>
      <c r="L143" s="13" cm="1">
        <f t="array" ref="L143">VALUE(_xlfn.IFS(ISERROR(FIND("(",C143,1)),C143,TRUE,MID(C143,FIND("(",C143,1)+1,LEN(C143)-FIND("(",C143,1)-1)))</f>
        <v>1</v>
      </c>
      <c r="N143" t="str">
        <f>_xlfn.LET(_xlpm.count, _xlfn.MAXIFS('DWG NO.ALL'!D:D,'DWG NO.ALL'!B:B,I143), IF(_xlpm.count=L143, "-", _xlpm.count))</f>
        <v>-</v>
      </c>
    </row>
    <row r="144" spans="1:14" ht="16.5">
      <c r="A144" s="3" t="s">
        <v>291</v>
      </c>
      <c r="B144" s="4" t="s">
        <v>292</v>
      </c>
      <c r="C144" s="4">
        <v>2</v>
      </c>
      <c r="D144" s="5">
        <v>45947</v>
      </c>
      <c r="E144" s="5">
        <v>45973</v>
      </c>
      <c r="F144" s="7"/>
      <c r="G144" s="8"/>
      <c r="H144" s="4" t="s">
        <v>292</v>
      </c>
      <c r="I144" t="str">
        <f t="shared" si="6"/>
        <v>TRIM-D2210-N47AB</v>
      </c>
      <c r="J144" s="12">
        <f t="shared" si="7"/>
        <v>45973</v>
      </c>
      <c r="K144" s="13" t="str">
        <f t="shared" si="8"/>
        <v>0</v>
      </c>
      <c r="L144" s="13" cm="1">
        <f t="array" ref="L144">VALUE(_xlfn.IFS(ISERROR(FIND("(",C144,1)),C144,TRUE,MID(C144,FIND("(",C144,1)+1,LEN(C144)-FIND("(",C144,1)-1)))</f>
        <v>2</v>
      </c>
      <c r="N144" t="str">
        <f>_xlfn.LET(_xlpm.count, _xlfn.MAXIFS('DWG NO.ALL'!D:D,'DWG NO.ALL'!B:B,I144), IF(_xlpm.count=L144, "-", _xlpm.count))</f>
        <v>-</v>
      </c>
    </row>
    <row r="145" spans="1:14" ht="16.5">
      <c r="A145" s="3" t="s">
        <v>293</v>
      </c>
      <c r="B145" s="4" t="s">
        <v>294</v>
      </c>
      <c r="C145" s="4">
        <v>1</v>
      </c>
      <c r="D145" s="5">
        <v>45947</v>
      </c>
      <c r="E145" s="5">
        <v>45973</v>
      </c>
      <c r="F145" s="7"/>
      <c r="G145" s="8"/>
      <c r="H145" s="4" t="s">
        <v>294</v>
      </c>
      <c r="I145" t="str">
        <f t="shared" si="6"/>
        <v>TRIM-D2210-N8</v>
      </c>
      <c r="J145" s="12">
        <f t="shared" si="7"/>
        <v>45973</v>
      </c>
      <c r="K145" s="13" t="str">
        <f t="shared" si="8"/>
        <v>0</v>
      </c>
      <c r="L145" s="13" cm="1">
        <f t="array" ref="L145">VALUE(_xlfn.IFS(ISERROR(FIND("(",C145,1)),C145,TRUE,MID(C145,FIND("(",C145,1)+1,LEN(C145)-FIND("(",C145,1)-1)))</f>
        <v>1</v>
      </c>
      <c r="N145" t="str">
        <f>_xlfn.LET(_xlpm.count, _xlfn.MAXIFS('DWG NO.ALL'!D:D,'DWG NO.ALL'!B:B,I145), IF(_xlpm.count=L145, "-", _xlpm.count))</f>
        <v>-</v>
      </c>
    </row>
    <row r="146" spans="1:14" ht="16.5">
      <c r="A146" s="3" t="s">
        <v>295</v>
      </c>
      <c r="B146" s="4" t="s">
        <v>296</v>
      </c>
      <c r="C146" s="4">
        <v>1</v>
      </c>
      <c r="D146" s="5">
        <v>45947</v>
      </c>
      <c r="E146" s="5">
        <v>45973</v>
      </c>
      <c r="F146" s="7"/>
      <c r="G146" s="8"/>
      <c r="H146" s="4" t="s">
        <v>296</v>
      </c>
      <c r="I146" t="str">
        <f t="shared" si="6"/>
        <v>TRIM-E2210-S3</v>
      </c>
      <c r="J146" s="12">
        <f t="shared" si="7"/>
        <v>45973</v>
      </c>
      <c r="K146" s="13" t="str">
        <f t="shared" si="8"/>
        <v>0</v>
      </c>
      <c r="L146" s="13" cm="1">
        <f t="array" ref="L146">VALUE(_xlfn.IFS(ISERROR(FIND("(",C146,1)),C146,TRUE,MID(C146,FIND("(",C146,1)+1,LEN(C146)-FIND("(",C146,1)-1)))</f>
        <v>1</v>
      </c>
      <c r="N146" t="str">
        <f>_xlfn.LET(_xlpm.count, _xlfn.MAXIFS('DWG NO.ALL'!D:D,'DWG NO.ALL'!B:B,I146), IF(_xlpm.count=L146, "-", _xlpm.count))</f>
        <v>-</v>
      </c>
    </row>
    <row r="147" spans="1:14" ht="16.5">
      <c r="A147" s="3" t="s">
        <v>297</v>
      </c>
      <c r="B147" s="4" t="s">
        <v>298</v>
      </c>
      <c r="C147" s="4">
        <v>1</v>
      </c>
      <c r="D147" s="5">
        <v>45947</v>
      </c>
      <c r="E147" s="5">
        <v>45973</v>
      </c>
      <c r="F147" s="7"/>
      <c r="G147" s="8"/>
      <c r="H147" s="4" t="s">
        <v>298</v>
      </c>
      <c r="I147" t="str">
        <f t="shared" si="6"/>
        <v>TRIM-E2210-S4</v>
      </c>
      <c r="J147" s="12">
        <f t="shared" si="7"/>
        <v>45973</v>
      </c>
      <c r="K147" s="13" t="str">
        <f t="shared" si="8"/>
        <v>0</v>
      </c>
      <c r="L147" s="13" cm="1">
        <f t="array" ref="L147">VALUE(_xlfn.IFS(ISERROR(FIND("(",C147,1)),C147,TRUE,MID(C147,FIND("(",C147,1)+1,LEN(C147)-FIND("(",C147,1)-1)))</f>
        <v>1</v>
      </c>
      <c r="N147" t="str">
        <f>_xlfn.LET(_xlpm.count, _xlfn.MAXIFS('DWG NO.ALL'!D:D,'DWG NO.ALL'!B:B,I147), IF(_xlpm.count=L147, "-", _xlpm.count))</f>
        <v>-</v>
      </c>
    </row>
    <row r="148" spans="1:14" ht="16.5">
      <c r="A148" s="3" t="s">
        <v>299</v>
      </c>
      <c r="B148" s="4" t="s">
        <v>300</v>
      </c>
      <c r="C148" s="4">
        <v>1</v>
      </c>
      <c r="D148" s="5">
        <v>45947</v>
      </c>
      <c r="E148" s="5">
        <v>45973</v>
      </c>
      <c r="F148" s="7"/>
      <c r="G148" s="8"/>
      <c r="H148" s="4" t="s">
        <v>300</v>
      </c>
      <c r="I148" t="str">
        <f t="shared" si="6"/>
        <v>TRIM-E2211-T3</v>
      </c>
      <c r="J148" s="12">
        <f t="shared" si="7"/>
        <v>45973</v>
      </c>
      <c r="K148" s="13" t="str">
        <f t="shared" si="8"/>
        <v>0</v>
      </c>
      <c r="L148" s="13" cm="1">
        <f t="array" ref="L148">VALUE(_xlfn.IFS(ISERROR(FIND("(",C148,1)),C148,TRUE,MID(C148,FIND("(",C148,1)+1,LEN(C148)-FIND("(",C148,1)-1)))</f>
        <v>1</v>
      </c>
      <c r="N148" t="str">
        <f>_xlfn.LET(_xlpm.count, _xlfn.MAXIFS('DWG NO.ALL'!D:D,'DWG NO.ALL'!B:B,I148), IF(_xlpm.count=L148, "-", _xlpm.count))</f>
        <v>-</v>
      </c>
    </row>
    <row r="149" spans="1:14" ht="16.5">
      <c r="A149" s="3" t="s">
        <v>301</v>
      </c>
      <c r="B149" s="4" t="s">
        <v>302</v>
      </c>
      <c r="C149" s="4">
        <v>1</v>
      </c>
      <c r="D149" s="5">
        <v>45947</v>
      </c>
      <c r="E149" s="5">
        <v>45973</v>
      </c>
      <c r="F149" s="7"/>
      <c r="G149" s="8"/>
      <c r="H149" s="4" t="s">
        <v>302</v>
      </c>
      <c r="I149" t="str">
        <f t="shared" si="6"/>
        <v>TRIM-E2211-T4</v>
      </c>
      <c r="J149" s="12">
        <f t="shared" si="7"/>
        <v>45973</v>
      </c>
      <c r="K149" s="13" t="str">
        <f t="shared" si="8"/>
        <v>0</v>
      </c>
      <c r="L149" s="13" cm="1">
        <f t="array" ref="L149">VALUE(_xlfn.IFS(ISERROR(FIND("(",C149,1)),C149,TRUE,MID(C149,FIND("(",C149,1)+1,LEN(C149)-FIND("(",C149,1)-1)))</f>
        <v>1</v>
      </c>
      <c r="N149" t="str">
        <f>_xlfn.LET(_xlpm.count, _xlfn.MAXIFS('DWG NO.ALL'!D:D,'DWG NO.ALL'!B:B,I149), IF(_xlpm.count=L149, "-", _xlpm.count))</f>
        <v>-</v>
      </c>
    </row>
    <row r="150" spans="1:14" ht="16.5">
      <c r="A150" s="3" t="s">
        <v>303</v>
      </c>
      <c r="B150" s="4" t="s">
        <v>304</v>
      </c>
      <c r="C150" s="4">
        <v>1</v>
      </c>
      <c r="D150" s="5">
        <v>45947</v>
      </c>
      <c r="E150" s="5">
        <v>45973</v>
      </c>
      <c r="F150" s="7"/>
      <c r="G150" s="8"/>
      <c r="H150" s="4" t="s">
        <v>304</v>
      </c>
      <c r="I150" t="str">
        <f t="shared" si="6"/>
        <v>TRIM-E2212-S3</v>
      </c>
      <c r="J150" s="12">
        <f t="shared" si="7"/>
        <v>45973</v>
      </c>
      <c r="K150" s="13" t="str">
        <f t="shared" si="8"/>
        <v>0</v>
      </c>
      <c r="L150" s="13" cm="1">
        <f t="array" ref="L150">VALUE(_xlfn.IFS(ISERROR(FIND("(",C150,1)),C150,TRUE,MID(C150,FIND("(",C150,1)+1,LEN(C150)-FIND("(",C150,1)-1)))</f>
        <v>1</v>
      </c>
      <c r="N150" t="str">
        <f>_xlfn.LET(_xlpm.count, _xlfn.MAXIFS('DWG NO.ALL'!D:D,'DWG NO.ALL'!B:B,I150), IF(_xlpm.count=L150, "-", _xlpm.count))</f>
        <v>-</v>
      </c>
    </row>
    <row r="151" spans="1:14" ht="16.5">
      <c r="A151" s="3" t="s">
        <v>305</v>
      </c>
      <c r="B151" s="4" t="s">
        <v>306</v>
      </c>
      <c r="C151" s="4">
        <v>1</v>
      </c>
      <c r="D151" s="5">
        <v>45947</v>
      </c>
      <c r="E151" s="5">
        <v>45973</v>
      </c>
      <c r="F151" s="7"/>
      <c r="G151" s="8"/>
      <c r="H151" s="4" t="s">
        <v>306</v>
      </c>
      <c r="I151" t="str">
        <f t="shared" si="6"/>
        <v>TRIM-E2212-S4</v>
      </c>
      <c r="J151" s="12">
        <f t="shared" si="7"/>
        <v>45973</v>
      </c>
      <c r="K151" s="13" t="str">
        <f t="shared" si="8"/>
        <v>0</v>
      </c>
      <c r="L151" s="13" cm="1">
        <f t="array" ref="L151">VALUE(_xlfn.IFS(ISERROR(FIND("(",C151,1)),C151,TRUE,MID(C151,FIND("(",C151,1)+1,LEN(C151)-FIND("(",C151,1)-1)))</f>
        <v>1</v>
      </c>
      <c r="N151" t="str">
        <f>_xlfn.LET(_xlpm.count, _xlfn.MAXIFS('DWG NO.ALL'!D:D,'DWG NO.ALL'!B:B,I151), IF(_xlpm.count=L151, "-", _xlpm.count))</f>
        <v>-</v>
      </c>
    </row>
    <row r="152" spans="1:14" ht="16.5">
      <c r="A152" s="3" t="s">
        <v>307</v>
      </c>
      <c r="B152" s="4" t="s">
        <v>308</v>
      </c>
      <c r="C152" s="4">
        <v>1</v>
      </c>
      <c r="D152" s="5">
        <v>45947</v>
      </c>
      <c r="E152" s="5">
        <v>45973</v>
      </c>
      <c r="F152" s="7"/>
      <c r="G152" s="8"/>
      <c r="H152" s="4" t="s">
        <v>308</v>
      </c>
      <c r="I152" t="str">
        <f t="shared" si="6"/>
        <v>TRIM-E2212-T4</v>
      </c>
      <c r="J152" s="12">
        <f t="shared" si="7"/>
        <v>45973</v>
      </c>
      <c r="K152" s="13" t="str">
        <f t="shared" si="8"/>
        <v>0</v>
      </c>
      <c r="L152" s="13" cm="1">
        <f t="array" ref="L152">VALUE(_xlfn.IFS(ISERROR(FIND("(",C152,1)),C152,TRUE,MID(C152,FIND("(",C152,1)+1,LEN(C152)-FIND("(",C152,1)-1)))</f>
        <v>1</v>
      </c>
      <c r="N152" t="str">
        <f>_xlfn.LET(_xlpm.count, _xlfn.MAXIFS('DWG NO.ALL'!D:D,'DWG NO.ALL'!B:B,I152), IF(_xlpm.count=L152, "-", _xlpm.count))</f>
        <v>-</v>
      </c>
    </row>
    <row r="153" spans="1:14" ht="16.5">
      <c r="A153" s="3" t="s">
        <v>309</v>
      </c>
      <c r="B153" s="4" t="s">
        <v>310</v>
      </c>
      <c r="C153" s="4">
        <v>1</v>
      </c>
      <c r="D153" s="5">
        <v>45947</v>
      </c>
      <c r="E153" s="5">
        <v>45973</v>
      </c>
      <c r="F153" s="7"/>
      <c r="G153" s="8"/>
      <c r="H153" s="4" t="s">
        <v>310</v>
      </c>
      <c r="I153" t="str">
        <f t="shared" si="6"/>
        <v>TRIM-E2213-T3</v>
      </c>
      <c r="J153" s="12">
        <f t="shared" si="7"/>
        <v>45973</v>
      </c>
      <c r="K153" s="13" t="str">
        <f t="shared" si="8"/>
        <v>0</v>
      </c>
      <c r="L153" s="13" cm="1">
        <f t="array" ref="L153">VALUE(_xlfn.IFS(ISERROR(FIND("(",C153,1)),C153,TRUE,MID(C153,FIND("(",C153,1)+1,LEN(C153)-FIND("(",C153,1)-1)))</f>
        <v>1</v>
      </c>
      <c r="N153" t="str">
        <f>_xlfn.LET(_xlpm.count, _xlfn.MAXIFS('DWG NO.ALL'!D:D,'DWG NO.ALL'!B:B,I153), IF(_xlpm.count=L153, "-", _xlpm.count))</f>
        <v>-</v>
      </c>
    </row>
    <row r="154" spans="1:14" ht="16.5">
      <c r="A154" s="3" t="s">
        <v>311</v>
      </c>
      <c r="B154" s="4" t="s">
        <v>312</v>
      </c>
      <c r="C154" s="4">
        <v>1</v>
      </c>
      <c r="D154" s="5">
        <v>45947</v>
      </c>
      <c r="E154" s="5">
        <v>45973</v>
      </c>
      <c r="F154" s="7"/>
      <c r="G154" s="8"/>
      <c r="H154" s="4" t="s">
        <v>312</v>
      </c>
      <c r="I154" t="str">
        <f t="shared" si="6"/>
        <v>TRIM-E2213-T4</v>
      </c>
      <c r="J154" s="12">
        <f t="shared" si="7"/>
        <v>45973</v>
      </c>
      <c r="K154" s="13" t="str">
        <f t="shared" si="8"/>
        <v>0</v>
      </c>
      <c r="L154" s="13" cm="1">
        <f t="array" ref="L154">VALUE(_xlfn.IFS(ISERROR(FIND("(",C154,1)),C154,TRUE,MID(C154,FIND("(",C154,1)+1,LEN(C154)-FIND("(",C154,1)-1)))</f>
        <v>1</v>
      </c>
      <c r="N154" t="str">
        <f>_xlfn.LET(_xlpm.count, _xlfn.MAXIFS('DWG NO.ALL'!D:D,'DWG NO.ALL'!B:B,I154), IF(_xlpm.count=L154, "-", _xlpm.count))</f>
        <v>-</v>
      </c>
    </row>
    <row r="155" spans="1:14" ht="16.5">
      <c r="A155" s="3" t="s">
        <v>313</v>
      </c>
      <c r="B155" s="4" t="s">
        <v>314</v>
      </c>
      <c r="C155" s="4">
        <v>1</v>
      </c>
      <c r="D155" s="5">
        <v>45947</v>
      </c>
      <c r="E155" s="5">
        <v>45973</v>
      </c>
      <c r="F155" s="7"/>
      <c r="G155" s="8"/>
      <c r="H155" s="4" t="s">
        <v>314</v>
      </c>
      <c r="I155" t="str">
        <f t="shared" si="6"/>
        <v>TRIM-E2214-T3</v>
      </c>
      <c r="J155" s="12">
        <f t="shared" si="7"/>
        <v>45973</v>
      </c>
      <c r="K155" s="13" t="str">
        <f t="shared" si="8"/>
        <v>0</v>
      </c>
      <c r="L155" s="13" cm="1">
        <f t="array" ref="L155">VALUE(_xlfn.IFS(ISERROR(FIND("(",C155,1)),C155,TRUE,MID(C155,FIND("(",C155,1)+1,LEN(C155)-FIND("(",C155,1)-1)))</f>
        <v>1</v>
      </c>
      <c r="N155" t="str">
        <f>_xlfn.LET(_xlpm.count, _xlfn.MAXIFS('DWG NO.ALL'!D:D,'DWG NO.ALL'!B:B,I155), IF(_xlpm.count=L155, "-", _xlpm.count))</f>
        <v>-</v>
      </c>
    </row>
    <row r="156" spans="1:14" ht="16.5">
      <c r="A156" s="3" t="s">
        <v>315</v>
      </c>
      <c r="B156" s="4" t="s">
        <v>316</v>
      </c>
      <c r="C156" s="4">
        <v>1</v>
      </c>
      <c r="D156" s="5">
        <v>45947</v>
      </c>
      <c r="E156" s="5">
        <v>45973</v>
      </c>
      <c r="F156" s="7"/>
      <c r="G156" s="8"/>
      <c r="H156" s="4" t="s">
        <v>316</v>
      </c>
      <c r="I156" t="str">
        <f t="shared" si="6"/>
        <v>TRIM-E2214-T4</v>
      </c>
      <c r="J156" s="12">
        <f t="shared" si="7"/>
        <v>45973</v>
      </c>
      <c r="K156" s="13" t="str">
        <f t="shared" si="8"/>
        <v>0</v>
      </c>
      <c r="L156" s="13" cm="1">
        <f t="array" ref="L156">VALUE(_xlfn.IFS(ISERROR(FIND("(",C156,1)),C156,TRUE,MID(C156,FIND("(",C156,1)+1,LEN(C156)-FIND("(",C156,1)-1)))</f>
        <v>1</v>
      </c>
      <c r="N156" t="str">
        <f>_xlfn.LET(_xlpm.count, _xlfn.MAXIFS('DWG NO.ALL'!D:D,'DWG NO.ALL'!B:B,I156), IF(_xlpm.count=L156, "-", _xlpm.count))</f>
        <v>-</v>
      </c>
    </row>
    <row r="157" spans="1:14" ht="16.5">
      <c r="A157" s="3" t="s">
        <v>317</v>
      </c>
      <c r="B157" s="4" t="s">
        <v>318</v>
      </c>
      <c r="C157" s="4">
        <v>1</v>
      </c>
      <c r="D157" s="5">
        <v>45947</v>
      </c>
      <c r="E157" s="5">
        <v>45973</v>
      </c>
      <c r="F157" s="7"/>
      <c r="G157" s="8"/>
      <c r="H157" s="4" t="s">
        <v>318</v>
      </c>
      <c r="I157" t="str">
        <f t="shared" si="6"/>
        <v>TRIM-E2220-S3</v>
      </c>
      <c r="J157" s="12">
        <f t="shared" si="7"/>
        <v>45973</v>
      </c>
      <c r="K157" s="13" t="str">
        <f t="shared" si="8"/>
        <v>0</v>
      </c>
      <c r="L157" s="13" cm="1">
        <f t="array" ref="L157">VALUE(_xlfn.IFS(ISERROR(FIND("(",C157,1)),C157,TRUE,MID(C157,FIND("(",C157,1)+1,LEN(C157)-FIND("(",C157,1)-1)))</f>
        <v>1</v>
      </c>
      <c r="N157" t="str">
        <f>_xlfn.LET(_xlpm.count, _xlfn.MAXIFS('DWG NO.ALL'!D:D,'DWG NO.ALL'!B:B,I157), IF(_xlpm.count=L157, "-", _xlpm.count))</f>
        <v>-</v>
      </c>
    </row>
    <row r="158" spans="1:14" ht="16.5">
      <c r="A158" s="3" t="s">
        <v>319</v>
      </c>
      <c r="B158" s="4" t="s">
        <v>320</v>
      </c>
      <c r="C158" s="4">
        <v>1</v>
      </c>
      <c r="D158" s="5">
        <v>45947</v>
      </c>
      <c r="E158" s="5">
        <v>45973</v>
      </c>
      <c r="F158" s="7"/>
      <c r="G158" s="8"/>
      <c r="H158" s="4" t="s">
        <v>320</v>
      </c>
      <c r="I158" t="str">
        <f t="shared" si="6"/>
        <v>TRIM-E2220-S4</v>
      </c>
      <c r="J158" s="12">
        <f t="shared" si="7"/>
        <v>45973</v>
      </c>
      <c r="K158" s="13" t="str">
        <f t="shared" si="8"/>
        <v>0</v>
      </c>
      <c r="L158" s="13" cm="1">
        <f t="array" ref="L158">VALUE(_xlfn.IFS(ISERROR(FIND("(",C158,1)),C158,TRUE,MID(C158,FIND("(",C158,1)+1,LEN(C158)-FIND("(",C158,1)-1)))</f>
        <v>1</v>
      </c>
      <c r="N158" t="str">
        <f>_xlfn.LET(_xlpm.count, _xlfn.MAXIFS('DWG NO.ALL'!D:D,'DWG NO.ALL'!B:B,I158), IF(_xlpm.count=L158, "-", _xlpm.count))</f>
        <v>-</v>
      </c>
    </row>
    <row r="159" spans="1:14" ht="16.5">
      <c r="A159" s="3" t="s">
        <v>321</v>
      </c>
      <c r="B159" s="4" t="s">
        <v>322</v>
      </c>
      <c r="C159" s="4">
        <v>1</v>
      </c>
      <c r="D159" s="5">
        <v>45947</v>
      </c>
      <c r="E159" s="5">
        <v>45973</v>
      </c>
      <c r="F159" s="7"/>
      <c r="G159" s="8"/>
      <c r="H159" s="4" t="s">
        <v>322</v>
      </c>
      <c r="I159" t="str">
        <f t="shared" si="6"/>
        <v>TRIM-E2222-S3</v>
      </c>
      <c r="J159" s="12">
        <f t="shared" si="7"/>
        <v>45973</v>
      </c>
      <c r="K159" s="13" t="str">
        <f t="shared" si="8"/>
        <v>0</v>
      </c>
      <c r="L159" s="13" cm="1">
        <f t="array" ref="L159">VALUE(_xlfn.IFS(ISERROR(FIND("(",C159,1)),C159,TRUE,MID(C159,FIND("(",C159,1)+1,LEN(C159)-FIND("(",C159,1)-1)))</f>
        <v>1</v>
      </c>
      <c r="N159" t="str">
        <f>_xlfn.LET(_xlpm.count, _xlfn.MAXIFS('DWG NO.ALL'!D:D,'DWG NO.ALL'!B:B,I159), IF(_xlpm.count=L159, "-", _xlpm.count))</f>
        <v>-</v>
      </c>
    </row>
    <row r="160" spans="1:14" ht="16.5">
      <c r="A160" s="3" t="s">
        <v>323</v>
      </c>
      <c r="B160" s="4" t="s">
        <v>324</v>
      </c>
      <c r="C160" s="4">
        <v>1</v>
      </c>
      <c r="D160" s="5">
        <v>45947</v>
      </c>
      <c r="E160" s="5">
        <v>45973</v>
      </c>
      <c r="F160" s="7"/>
      <c r="G160" s="8"/>
      <c r="H160" s="4" t="s">
        <v>324</v>
      </c>
      <c r="I160" t="str">
        <f t="shared" si="6"/>
        <v>TRIM-E2222-S4</v>
      </c>
      <c r="J160" s="12">
        <f t="shared" si="7"/>
        <v>45973</v>
      </c>
      <c r="K160" s="13" t="str">
        <f t="shared" si="8"/>
        <v>0</v>
      </c>
      <c r="L160" s="13" cm="1">
        <f t="array" ref="L160">VALUE(_xlfn.IFS(ISERROR(FIND("(",C160,1)),C160,TRUE,MID(C160,FIND("(",C160,1)+1,LEN(C160)-FIND("(",C160,1)-1)))</f>
        <v>1</v>
      </c>
      <c r="N160" t="str">
        <f>_xlfn.LET(_xlpm.count, _xlfn.MAXIFS('DWG NO.ALL'!D:D,'DWG NO.ALL'!B:B,I160), IF(_xlpm.count=L160, "-", _xlpm.count))</f>
        <v>-</v>
      </c>
    </row>
    <row r="161" spans="1:14" ht="16.5">
      <c r="A161" s="3" t="s">
        <v>325</v>
      </c>
      <c r="B161" s="4" t="s">
        <v>326</v>
      </c>
      <c r="C161" s="4">
        <v>1</v>
      </c>
      <c r="D161" s="5">
        <v>45947</v>
      </c>
      <c r="E161" s="5">
        <v>45973</v>
      </c>
      <c r="F161" s="7"/>
      <c r="G161" s="8"/>
      <c r="H161" s="4" t="s">
        <v>326</v>
      </c>
      <c r="I161" t="str">
        <f t="shared" si="6"/>
        <v>TRIM-E2224-T3</v>
      </c>
      <c r="J161" s="12">
        <f t="shared" si="7"/>
        <v>45973</v>
      </c>
      <c r="K161" s="13" t="str">
        <f t="shared" si="8"/>
        <v>0</v>
      </c>
      <c r="L161" s="13" cm="1">
        <f t="array" ref="L161">VALUE(_xlfn.IFS(ISERROR(FIND("(",C161,1)),C161,TRUE,MID(C161,FIND("(",C161,1)+1,LEN(C161)-FIND("(",C161,1)-1)))</f>
        <v>1</v>
      </c>
      <c r="N161" t="str">
        <f>_xlfn.LET(_xlpm.count, _xlfn.MAXIFS('DWG NO.ALL'!D:D,'DWG NO.ALL'!B:B,I161), IF(_xlpm.count=L161, "-", _xlpm.count))</f>
        <v>-</v>
      </c>
    </row>
    <row r="162" spans="1:14" ht="16.5">
      <c r="A162" s="3" t="s">
        <v>327</v>
      </c>
      <c r="B162" s="4" t="s">
        <v>328</v>
      </c>
      <c r="C162" s="4">
        <v>1</v>
      </c>
      <c r="D162" s="5">
        <v>45947</v>
      </c>
      <c r="E162" s="5">
        <v>45973</v>
      </c>
      <c r="F162" s="7"/>
      <c r="G162" s="8"/>
      <c r="H162" s="4" t="s">
        <v>328</v>
      </c>
      <c r="I162" t="str">
        <f t="shared" si="6"/>
        <v>TRIM-E2224-T4</v>
      </c>
      <c r="J162" s="12">
        <f t="shared" si="7"/>
        <v>45973</v>
      </c>
      <c r="K162" s="13" t="str">
        <f t="shared" si="8"/>
        <v>0</v>
      </c>
      <c r="L162" s="13" cm="1">
        <f t="array" ref="L162">VALUE(_xlfn.IFS(ISERROR(FIND("(",C162,1)),C162,TRUE,MID(C162,FIND("(",C162,1)+1,LEN(C162)-FIND("(",C162,1)-1)))</f>
        <v>1</v>
      </c>
      <c r="N162" t="str">
        <f>_xlfn.LET(_xlpm.count, _xlfn.MAXIFS('DWG NO.ALL'!D:D,'DWG NO.ALL'!B:B,I162), IF(_xlpm.count=L162, "-", _xlpm.count))</f>
        <v>-</v>
      </c>
    </row>
    <row r="163" spans="1:14" ht="16.5">
      <c r="A163" s="3" t="s">
        <v>329</v>
      </c>
      <c r="B163" s="4" t="s">
        <v>330</v>
      </c>
      <c r="C163" s="4">
        <v>1</v>
      </c>
      <c r="D163" s="5">
        <v>45947</v>
      </c>
      <c r="E163" s="5">
        <v>45973</v>
      </c>
      <c r="F163" s="7"/>
      <c r="G163" s="8"/>
      <c r="H163" s="4" t="s">
        <v>330</v>
      </c>
      <c r="I163" t="str">
        <f t="shared" si="6"/>
        <v>TRIM-ES151-N2</v>
      </c>
      <c r="J163" s="12">
        <f t="shared" si="7"/>
        <v>45973</v>
      </c>
      <c r="K163" s="13" t="str">
        <f t="shared" si="8"/>
        <v>0</v>
      </c>
      <c r="L163" s="13" cm="1">
        <f t="array" ref="L163">VALUE(_xlfn.IFS(ISERROR(FIND("(",C163,1)),C163,TRUE,MID(C163,FIND("(",C163,1)+1,LEN(C163)-FIND("(",C163,1)-1)))</f>
        <v>1</v>
      </c>
      <c r="N163" t="str">
        <f>_xlfn.LET(_xlpm.count, _xlfn.MAXIFS('DWG NO.ALL'!D:D,'DWG NO.ALL'!B:B,I163), IF(_xlpm.count=L163, "-", _xlpm.count))</f>
        <v>-</v>
      </c>
    </row>
    <row r="164" spans="1:14" ht="16.5">
      <c r="A164" s="3" t="s">
        <v>331</v>
      </c>
      <c r="B164" s="4" t="s">
        <v>332</v>
      </c>
      <c r="C164" s="4">
        <v>1</v>
      </c>
      <c r="D164" s="5">
        <v>45947</v>
      </c>
      <c r="E164" s="5">
        <v>45973</v>
      </c>
      <c r="F164" s="7"/>
      <c r="G164" s="8"/>
      <c r="H164" s="4" t="s">
        <v>332</v>
      </c>
      <c r="I164" t="str">
        <f t="shared" si="6"/>
        <v>TRIM-STR22101A-D</v>
      </c>
      <c r="J164" s="12">
        <f t="shared" si="7"/>
        <v>45973</v>
      </c>
      <c r="K164" s="13" t="str">
        <f t="shared" si="8"/>
        <v>0</v>
      </c>
      <c r="L164" s="13" cm="1">
        <f t="array" ref="L164">VALUE(_xlfn.IFS(ISERROR(FIND("(",C164,1)),C164,TRUE,MID(C164,FIND("(",C164,1)+1,LEN(C164)-FIND("(",C164,1)-1)))</f>
        <v>1</v>
      </c>
      <c r="N164" t="str">
        <f>_xlfn.LET(_xlpm.count, _xlfn.MAXIFS('DWG NO.ALL'!D:D,'DWG NO.ALL'!B:B,I164), IF(_xlpm.count=L164, "-", _xlpm.count))</f>
        <v>-</v>
      </c>
    </row>
    <row r="165" spans="1:14" ht="16.5">
      <c r="A165" s="3" t="s">
        <v>333</v>
      </c>
      <c r="B165" s="4" t="s">
        <v>334</v>
      </c>
      <c r="C165" s="4">
        <v>1</v>
      </c>
      <c r="D165" s="5">
        <v>45947</v>
      </c>
      <c r="E165" s="5">
        <v>45973</v>
      </c>
      <c r="F165" s="7"/>
      <c r="G165" s="8"/>
      <c r="H165" s="4" t="s">
        <v>334</v>
      </c>
      <c r="I165" t="str">
        <f t="shared" si="6"/>
        <v>TRIM-STR22101A-V</v>
      </c>
      <c r="J165" s="12">
        <f t="shared" si="7"/>
        <v>45973</v>
      </c>
      <c r="K165" s="13" t="str">
        <f t="shared" si="8"/>
        <v>0</v>
      </c>
      <c r="L165" s="13" cm="1">
        <f t="array" ref="L165">VALUE(_xlfn.IFS(ISERROR(FIND("(",C165,1)),C165,TRUE,MID(C165,FIND("(",C165,1)+1,LEN(C165)-FIND("(",C165,1)-1)))</f>
        <v>1</v>
      </c>
      <c r="N165" t="str">
        <f>_xlfn.LET(_xlpm.count, _xlfn.MAXIFS('DWG NO.ALL'!D:D,'DWG NO.ALL'!B:B,I165), IF(_xlpm.count=L165, "-", _xlpm.count))</f>
        <v>-</v>
      </c>
    </row>
    <row r="166" spans="1:14" ht="16.5">
      <c r="A166" s="3" t="s">
        <v>335</v>
      </c>
      <c r="B166" s="4" t="s">
        <v>336</v>
      </c>
      <c r="C166" s="4">
        <v>1</v>
      </c>
      <c r="D166" s="5">
        <v>45947</v>
      </c>
      <c r="E166" s="5">
        <v>45973</v>
      </c>
      <c r="F166" s="7"/>
      <c r="G166" s="8"/>
      <c r="H166" s="4" t="s">
        <v>336</v>
      </c>
      <c r="I166" t="str">
        <f t="shared" si="6"/>
        <v>TRIM-STR22101B-D</v>
      </c>
      <c r="J166" s="12">
        <f t="shared" si="7"/>
        <v>45973</v>
      </c>
      <c r="K166" s="13" t="str">
        <f t="shared" si="8"/>
        <v>0</v>
      </c>
      <c r="L166" s="13" cm="1">
        <f t="array" ref="L166">VALUE(_xlfn.IFS(ISERROR(FIND("(",C166,1)),C166,TRUE,MID(C166,FIND("(",C166,1)+1,LEN(C166)-FIND("(",C166,1)-1)))</f>
        <v>1</v>
      </c>
      <c r="N166" t="str">
        <f>_xlfn.LET(_xlpm.count, _xlfn.MAXIFS('DWG NO.ALL'!D:D,'DWG NO.ALL'!B:B,I166), IF(_xlpm.count=L166, "-", _xlpm.count))</f>
        <v>-</v>
      </c>
    </row>
    <row r="167" spans="1:14" ht="16.5">
      <c r="A167" s="3" t="s">
        <v>337</v>
      </c>
      <c r="B167" s="4" t="s">
        <v>338</v>
      </c>
      <c r="C167" s="4">
        <v>1</v>
      </c>
      <c r="D167" s="5">
        <v>45947</v>
      </c>
      <c r="E167" s="5">
        <v>45973</v>
      </c>
      <c r="F167" s="7"/>
      <c r="G167" s="8"/>
      <c r="H167" s="4" t="s">
        <v>338</v>
      </c>
      <c r="I167" t="str">
        <f t="shared" si="6"/>
        <v>TRIM-STR22101B-V</v>
      </c>
      <c r="J167" s="12">
        <f t="shared" si="7"/>
        <v>45973</v>
      </c>
      <c r="K167" s="13" t="str">
        <f t="shared" si="8"/>
        <v>0</v>
      </c>
      <c r="L167" s="13" cm="1">
        <f t="array" ref="L167">VALUE(_xlfn.IFS(ISERROR(FIND("(",C167,1)),C167,TRUE,MID(C167,FIND("(",C167,1)+1,LEN(C167)-FIND("(",C167,1)-1)))</f>
        <v>1</v>
      </c>
      <c r="N167" t="str">
        <f>_xlfn.LET(_xlpm.count, _xlfn.MAXIFS('DWG NO.ALL'!D:D,'DWG NO.ALL'!B:B,I167), IF(_xlpm.count=L167, "-", _xlpm.count))</f>
        <v>-</v>
      </c>
    </row>
    <row r="168" spans="1:14" ht="16.5">
      <c r="A168" s="3" t="s">
        <v>339</v>
      </c>
      <c r="B168" s="4" t="s">
        <v>340</v>
      </c>
      <c r="C168" s="4">
        <v>1</v>
      </c>
      <c r="D168" s="5">
        <v>45947</v>
      </c>
      <c r="E168" s="5">
        <v>45973</v>
      </c>
      <c r="F168" s="7"/>
      <c r="G168" s="8"/>
      <c r="H168" s="4" t="s">
        <v>340</v>
      </c>
      <c r="I168" t="str">
        <f t="shared" si="6"/>
        <v>TRIM-STR22111A-D</v>
      </c>
      <c r="J168" s="12">
        <f t="shared" si="7"/>
        <v>45973</v>
      </c>
      <c r="K168" s="13" t="str">
        <f t="shared" si="8"/>
        <v>0</v>
      </c>
      <c r="L168" s="13" cm="1">
        <f t="array" ref="L168">VALUE(_xlfn.IFS(ISERROR(FIND("(",C168,1)),C168,TRUE,MID(C168,FIND("(",C168,1)+1,LEN(C168)-FIND("(",C168,1)-1)))</f>
        <v>1</v>
      </c>
      <c r="N168" t="str">
        <f>_xlfn.LET(_xlpm.count, _xlfn.MAXIFS('DWG NO.ALL'!D:D,'DWG NO.ALL'!B:B,I168), IF(_xlpm.count=L168, "-", _xlpm.count))</f>
        <v>-</v>
      </c>
    </row>
    <row r="169" spans="1:14" ht="16.5">
      <c r="A169" s="3" t="s">
        <v>341</v>
      </c>
      <c r="B169" s="4" t="s">
        <v>342</v>
      </c>
      <c r="C169" s="4">
        <v>1</v>
      </c>
      <c r="D169" s="5">
        <v>45947</v>
      </c>
      <c r="E169" s="5">
        <v>45973</v>
      </c>
      <c r="F169" s="7"/>
      <c r="G169" s="8"/>
      <c r="H169" s="4" t="s">
        <v>342</v>
      </c>
      <c r="I169" t="str">
        <f t="shared" si="6"/>
        <v>TRIM-STR22111A-V</v>
      </c>
      <c r="J169" s="12">
        <f t="shared" si="7"/>
        <v>45973</v>
      </c>
      <c r="K169" s="13" t="str">
        <f t="shared" si="8"/>
        <v>0</v>
      </c>
      <c r="L169" s="13" cm="1">
        <f t="array" ref="L169">VALUE(_xlfn.IFS(ISERROR(FIND("(",C169,1)),C169,TRUE,MID(C169,FIND("(",C169,1)+1,LEN(C169)-FIND("(",C169,1)-1)))</f>
        <v>1</v>
      </c>
      <c r="N169" t="str">
        <f>_xlfn.LET(_xlpm.count, _xlfn.MAXIFS('DWG NO.ALL'!D:D,'DWG NO.ALL'!B:B,I169), IF(_xlpm.count=L169, "-", _xlpm.count))</f>
        <v>-</v>
      </c>
    </row>
    <row r="170" spans="1:14" ht="16.5">
      <c r="A170" s="3" t="s">
        <v>343</v>
      </c>
      <c r="B170" s="4" t="s">
        <v>344</v>
      </c>
      <c r="C170" s="4">
        <v>1</v>
      </c>
      <c r="D170" s="5">
        <v>45947</v>
      </c>
      <c r="E170" s="5">
        <v>45973</v>
      </c>
      <c r="F170" s="7"/>
      <c r="G170" s="8"/>
      <c r="H170" s="4" t="s">
        <v>344</v>
      </c>
      <c r="I170" t="str">
        <f t="shared" si="6"/>
        <v>TRIM-STR22111B-D</v>
      </c>
      <c r="J170" s="12">
        <f t="shared" si="7"/>
        <v>45973</v>
      </c>
      <c r="K170" s="13" t="str">
        <f t="shared" si="8"/>
        <v>0</v>
      </c>
      <c r="L170" s="13" cm="1">
        <f t="array" ref="L170">VALUE(_xlfn.IFS(ISERROR(FIND("(",C170,1)),C170,TRUE,MID(C170,FIND("(",C170,1)+1,LEN(C170)-FIND("(",C170,1)-1)))</f>
        <v>1</v>
      </c>
      <c r="N170" t="str">
        <f>_xlfn.LET(_xlpm.count, _xlfn.MAXIFS('DWG NO.ALL'!D:D,'DWG NO.ALL'!B:B,I170), IF(_xlpm.count=L170, "-", _xlpm.count))</f>
        <v>-</v>
      </c>
    </row>
    <row r="171" spans="1:14" ht="16.5">
      <c r="A171" s="3" t="s">
        <v>345</v>
      </c>
      <c r="B171" s="4" t="s">
        <v>346</v>
      </c>
      <c r="C171" s="4">
        <v>1</v>
      </c>
      <c r="D171" s="5">
        <v>45947</v>
      </c>
      <c r="E171" s="5">
        <v>45973</v>
      </c>
      <c r="F171" s="7"/>
      <c r="G171" s="8"/>
      <c r="H171" s="4" t="s">
        <v>346</v>
      </c>
      <c r="I171" t="str">
        <f t="shared" si="6"/>
        <v>TRIM-STR22111B-V</v>
      </c>
      <c r="J171" s="12">
        <f t="shared" si="7"/>
        <v>45973</v>
      </c>
      <c r="K171" s="13" t="str">
        <f t="shared" si="8"/>
        <v>0</v>
      </c>
      <c r="L171" s="13" cm="1">
        <f t="array" ref="L171">VALUE(_xlfn.IFS(ISERROR(FIND("(",C171,1)),C171,TRUE,MID(C171,FIND("(",C171,1)+1,LEN(C171)-FIND("(",C171,1)-1)))</f>
        <v>1</v>
      </c>
      <c r="N171" t="str">
        <f>_xlfn.LET(_xlpm.count, _xlfn.MAXIFS('DWG NO.ALL'!D:D,'DWG NO.ALL'!B:B,I171), IF(_xlpm.count=L171, "-", _xlpm.count))</f>
        <v>-</v>
      </c>
    </row>
    <row r="172" spans="1:14" ht="16.5">
      <c r="A172" s="3" t="s">
        <v>347</v>
      </c>
      <c r="B172" s="4" t="s">
        <v>348</v>
      </c>
      <c r="C172" s="4">
        <v>1</v>
      </c>
      <c r="D172" s="5">
        <v>45947</v>
      </c>
      <c r="E172" s="5">
        <v>45973</v>
      </c>
      <c r="F172" s="7"/>
      <c r="G172" s="8"/>
      <c r="H172" s="4" t="s">
        <v>348</v>
      </c>
      <c r="I172" t="str">
        <f t="shared" si="6"/>
        <v>TRIM-STR22201A-D</v>
      </c>
      <c r="J172" s="12">
        <f t="shared" si="7"/>
        <v>45973</v>
      </c>
      <c r="K172" s="13" t="str">
        <f t="shared" si="8"/>
        <v>0</v>
      </c>
      <c r="L172" s="13" cm="1">
        <f t="array" ref="L172">VALUE(_xlfn.IFS(ISERROR(FIND("(",C172,1)),C172,TRUE,MID(C172,FIND("(",C172,1)+1,LEN(C172)-FIND("(",C172,1)-1)))</f>
        <v>1</v>
      </c>
      <c r="N172" t="str">
        <f>_xlfn.LET(_xlpm.count, _xlfn.MAXIFS('DWG NO.ALL'!D:D,'DWG NO.ALL'!B:B,I172), IF(_xlpm.count=L172, "-", _xlpm.count))</f>
        <v>-</v>
      </c>
    </row>
    <row r="173" spans="1:14" ht="16.5">
      <c r="A173" s="3" t="s">
        <v>349</v>
      </c>
      <c r="B173" s="4" t="s">
        <v>350</v>
      </c>
      <c r="C173" s="4">
        <v>1</v>
      </c>
      <c r="D173" s="5">
        <v>45947</v>
      </c>
      <c r="E173" s="5">
        <v>45973</v>
      </c>
      <c r="F173" s="7"/>
      <c r="G173" s="8"/>
      <c r="H173" s="4" t="s">
        <v>350</v>
      </c>
      <c r="I173" t="str">
        <f t="shared" si="6"/>
        <v>TRIM-STR22201A-V</v>
      </c>
      <c r="J173" s="12">
        <f t="shared" si="7"/>
        <v>45973</v>
      </c>
      <c r="K173" s="13" t="str">
        <f t="shared" si="8"/>
        <v>0</v>
      </c>
      <c r="L173" s="13" cm="1">
        <f t="array" ref="L173">VALUE(_xlfn.IFS(ISERROR(FIND("(",C173,1)),C173,TRUE,MID(C173,FIND("(",C173,1)+1,LEN(C173)-FIND("(",C173,1)-1)))</f>
        <v>1</v>
      </c>
      <c r="N173" t="str">
        <f>_xlfn.LET(_xlpm.count, _xlfn.MAXIFS('DWG NO.ALL'!D:D,'DWG NO.ALL'!B:B,I173), IF(_xlpm.count=L173, "-", _xlpm.count))</f>
        <v>-</v>
      </c>
    </row>
    <row r="174" spans="1:14" ht="16.5">
      <c r="A174" s="3" t="s">
        <v>351</v>
      </c>
      <c r="B174" s="4" t="s">
        <v>352</v>
      </c>
      <c r="C174" s="4">
        <v>1</v>
      </c>
      <c r="D174" s="5">
        <v>45947</v>
      </c>
      <c r="E174" s="5">
        <v>45973</v>
      </c>
      <c r="F174" s="7"/>
      <c r="G174" s="8"/>
      <c r="H174" s="4" t="s">
        <v>352</v>
      </c>
      <c r="I174" t="str">
        <f t="shared" si="6"/>
        <v>TRIM-STR22201B-D</v>
      </c>
      <c r="J174" s="12">
        <f t="shared" si="7"/>
        <v>45973</v>
      </c>
      <c r="K174" s="13" t="str">
        <f t="shared" si="8"/>
        <v>0</v>
      </c>
      <c r="L174" s="13" cm="1">
        <f t="array" ref="L174">VALUE(_xlfn.IFS(ISERROR(FIND("(",C174,1)),C174,TRUE,MID(C174,FIND("(",C174,1)+1,LEN(C174)-FIND("(",C174,1)-1)))</f>
        <v>1</v>
      </c>
      <c r="N174" t="str">
        <f>_xlfn.LET(_xlpm.count, _xlfn.MAXIFS('DWG NO.ALL'!D:D,'DWG NO.ALL'!B:B,I174), IF(_xlpm.count=L174, "-", _xlpm.count))</f>
        <v>-</v>
      </c>
    </row>
    <row r="175" spans="1:14" ht="16.5">
      <c r="A175" s="3" t="s">
        <v>353</v>
      </c>
      <c r="B175" s="4" t="s">
        <v>354</v>
      </c>
      <c r="C175" s="4">
        <v>1</v>
      </c>
      <c r="D175" s="5">
        <v>45947</v>
      </c>
      <c r="E175" s="5">
        <v>45973</v>
      </c>
      <c r="F175" s="7"/>
      <c r="G175" s="8"/>
      <c r="H175" s="4" t="s">
        <v>354</v>
      </c>
      <c r="I175" t="str">
        <f t="shared" si="6"/>
        <v>TRIM-STR22201B-V</v>
      </c>
      <c r="J175" s="12">
        <f t="shared" si="7"/>
        <v>45973</v>
      </c>
      <c r="K175" s="13" t="str">
        <f t="shared" si="8"/>
        <v>0</v>
      </c>
      <c r="L175" s="13" cm="1">
        <f t="array" ref="L175">VALUE(_xlfn.IFS(ISERROR(FIND("(",C175,1)),C175,TRUE,MID(C175,FIND("(",C175,1)+1,LEN(C175)-FIND("(",C175,1)-1)))</f>
        <v>1</v>
      </c>
      <c r="N175" t="str">
        <f>_xlfn.LET(_xlpm.count, _xlfn.MAXIFS('DWG NO.ALL'!D:D,'DWG NO.ALL'!B:B,I175), IF(_xlpm.count=L175, "-", _xlpm.count))</f>
        <v>-</v>
      </c>
    </row>
    <row r="176" spans="1:14" ht="16.5">
      <c r="A176" s="3" t="s">
        <v>355</v>
      </c>
      <c r="B176" s="15" t="s">
        <v>356</v>
      </c>
      <c r="C176" s="4">
        <v>1</v>
      </c>
      <c r="D176" s="5">
        <v>45947</v>
      </c>
      <c r="E176" s="5">
        <v>45973</v>
      </c>
      <c r="F176" s="7"/>
      <c r="G176" s="8"/>
      <c r="H176" s="4" t="s">
        <v>356</v>
      </c>
      <c r="I176" t="str">
        <f t="shared" si="6"/>
        <v>TRIM-T2210-N35</v>
      </c>
      <c r="J176" s="12">
        <f t="shared" si="7"/>
        <v>45973</v>
      </c>
      <c r="K176" s="13" t="str">
        <f t="shared" si="8"/>
        <v>0</v>
      </c>
      <c r="L176" s="13" cm="1">
        <f t="array" ref="L176">VALUE(_xlfn.IFS(ISERROR(FIND("(",C176,1)),C176,TRUE,MID(C176,FIND("(",C176,1)+1,LEN(C176)-FIND("(",C176,1)-1)))</f>
        <v>1</v>
      </c>
      <c r="N176">
        <f>_xlfn.LET(_xlpm.count, _xlfn.MAXIFS('DWG NO.ALL'!D:D,'DWG NO.ALL'!B:B,I176), IF(_xlpm.count=L176, "-", _xlpm.count))</f>
        <v>0</v>
      </c>
    </row>
    <row r="177" spans="1:14" ht="16.5">
      <c r="A177" s="3" t="s">
        <v>357</v>
      </c>
      <c r="B177" s="15" t="s">
        <v>358</v>
      </c>
      <c r="C177" s="4">
        <v>1</v>
      </c>
      <c r="D177" s="5">
        <v>45947</v>
      </c>
      <c r="E177" s="5">
        <v>45973</v>
      </c>
      <c r="F177" s="7"/>
      <c r="G177" s="8"/>
      <c r="H177" s="4" t="s">
        <v>358</v>
      </c>
      <c r="I177" t="str">
        <f t="shared" si="6"/>
        <v>TRIM-T2210-N38</v>
      </c>
      <c r="J177" s="12">
        <f t="shared" si="7"/>
        <v>45973</v>
      </c>
      <c r="K177" s="13" t="str">
        <f t="shared" si="8"/>
        <v>0</v>
      </c>
      <c r="L177" s="13" cm="1">
        <f t="array" ref="L177">VALUE(_xlfn.IFS(ISERROR(FIND("(",C177,1)),C177,TRUE,MID(C177,FIND("(",C177,1)+1,LEN(C177)-FIND("(",C177,1)-1)))</f>
        <v>1</v>
      </c>
      <c r="N177">
        <f>_xlfn.LET(_xlpm.count, _xlfn.MAXIFS('DWG NO.ALL'!D:D,'DWG NO.ALL'!B:B,I177), IF(_xlpm.count=L177, "-", _xlpm.count))</f>
        <v>0</v>
      </c>
    </row>
    <row r="178" spans="1:14" ht="16.5">
      <c r="A178" s="3" t="s">
        <v>359</v>
      </c>
      <c r="B178" s="4" t="s">
        <v>360</v>
      </c>
      <c r="C178" s="4">
        <v>2</v>
      </c>
      <c r="D178" s="5">
        <v>45947</v>
      </c>
      <c r="E178" s="5">
        <v>45973</v>
      </c>
      <c r="F178" s="9">
        <v>45989</v>
      </c>
      <c r="G178" s="8"/>
      <c r="H178" s="4" t="s">
        <v>360</v>
      </c>
      <c r="I178" t="str">
        <f t="shared" si="6"/>
        <v>TRIM-T2210-N47AB</v>
      </c>
      <c r="J178" s="12">
        <f t="shared" si="7"/>
        <v>45989</v>
      </c>
      <c r="K178" s="13" t="str">
        <f t="shared" si="8"/>
        <v>1</v>
      </c>
      <c r="L178" s="13" cm="1">
        <f t="array" ref="L178">VALUE(_xlfn.IFS(ISERROR(FIND("(",C178,1)),C178,TRUE,MID(C178,FIND("(",C178,1)+1,LEN(C178)-FIND("(",C178,1)-1)))</f>
        <v>2</v>
      </c>
      <c r="N178" t="str">
        <f>_xlfn.LET(_xlpm.count, _xlfn.MAXIFS('DWG NO.ALL'!D:D,'DWG NO.ALL'!B:B,I178), IF(_xlpm.count=L178, "-", _xlpm.count))</f>
        <v>-</v>
      </c>
    </row>
    <row r="179" spans="1:14" ht="16.5">
      <c r="A179" s="3" t="s">
        <v>361</v>
      </c>
      <c r="B179" s="4" t="s">
        <v>362</v>
      </c>
      <c r="C179" s="4">
        <v>1</v>
      </c>
      <c r="D179" s="5">
        <v>45947</v>
      </c>
      <c r="E179" s="5">
        <v>45973</v>
      </c>
      <c r="F179" s="7"/>
      <c r="G179" s="8"/>
      <c r="H179" s="4" t="s">
        <v>362</v>
      </c>
      <c r="I179" t="str">
        <f t="shared" si="6"/>
        <v>TRIM-T2220-N35</v>
      </c>
      <c r="J179" s="12">
        <f t="shared" si="7"/>
        <v>45973</v>
      </c>
      <c r="K179" s="13" t="str">
        <f t="shared" si="8"/>
        <v>0</v>
      </c>
      <c r="L179" s="13" cm="1">
        <f t="array" ref="L179">VALUE(_xlfn.IFS(ISERROR(FIND("(",C179,1)),C179,TRUE,MID(C179,FIND("(",C179,1)+1,LEN(C179)-FIND("(",C179,1)-1)))</f>
        <v>1</v>
      </c>
      <c r="N179" t="str">
        <f>_xlfn.LET(_xlpm.count, _xlfn.MAXIFS('DWG NO.ALL'!D:D,'DWG NO.ALL'!B:B,I179), IF(_xlpm.count=L179, "-", _xlpm.count))</f>
        <v>-</v>
      </c>
    </row>
    <row r="180" spans="1:14" ht="16.5">
      <c r="A180" s="3" t="s">
        <v>363</v>
      </c>
      <c r="B180" s="4" t="s">
        <v>364</v>
      </c>
      <c r="C180" s="4">
        <v>1</v>
      </c>
      <c r="D180" s="5">
        <v>45947</v>
      </c>
      <c r="E180" s="5">
        <v>45973</v>
      </c>
      <c r="F180" s="7"/>
      <c r="G180" s="8"/>
      <c r="H180" s="4" t="s">
        <v>364</v>
      </c>
      <c r="I180" t="str">
        <f t="shared" si="6"/>
        <v>TRIM-T2220-N38</v>
      </c>
      <c r="J180" s="12">
        <f t="shared" si="7"/>
        <v>45973</v>
      </c>
      <c r="K180" s="13" t="str">
        <f t="shared" si="8"/>
        <v>0</v>
      </c>
      <c r="L180" s="13" cm="1">
        <f t="array" ref="L180">VALUE(_xlfn.IFS(ISERROR(FIND("(",C180,1)),C180,TRUE,MID(C180,FIND("(",C180,1)+1,LEN(C180)-FIND("(",C180,1)-1)))</f>
        <v>1</v>
      </c>
      <c r="N180" t="str">
        <f>_xlfn.LET(_xlpm.count, _xlfn.MAXIFS('DWG NO.ALL'!D:D,'DWG NO.ALL'!B:B,I180), IF(_xlpm.count=L180, "-", _xlpm.count))</f>
        <v>-</v>
      </c>
    </row>
    <row r="181" spans="1:14" ht="16.5">
      <c r="A181" s="3" t="s">
        <v>365</v>
      </c>
      <c r="B181" s="4" t="s">
        <v>366</v>
      </c>
      <c r="C181" s="4">
        <v>2</v>
      </c>
      <c r="D181" s="5">
        <v>45947</v>
      </c>
      <c r="E181" s="5">
        <v>45973</v>
      </c>
      <c r="F181" s="7"/>
      <c r="G181" s="8"/>
      <c r="H181" s="4" t="s">
        <v>366</v>
      </c>
      <c r="I181" t="str">
        <f t="shared" si="6"/>
        <v>TRIM-T2220-N47AB</v>
      </c>
      <c r="J181" s="12">
        <f t="shared" si="7"/>
        <v>45973</v>
      </c>
      <c r="K181" s="13" t="str">
        <f t="shared" si="8"/>
        <v>0</v>
      </c>
      <c r="L181" s="13" cm="1">
        <f t="array" ref="L181">VALUE(_xlfn.IFS(ISERROR(FIND("(",C181,1)),C181,TRUE,MID(C181,FIND("(",C181,1)+1,LEN(C181)-FIND("(",C181,1)-1)))</f>
        <v>2</v>
      </c>
      <c r="N181" t="str">
        <f>_xlfn.LET(_xlpm.count, _xlfn.MAXIFS('DWG NO.ALL'!D:D,'DWG NO.ALL'!B:B,I181), IF(_xlpm.count=L181, "-", _xlpm.count))</f>
        <v>-</v>
      </c>
    </row>
    <row r="182" spans="1:14" ht="16.5">
      <c r="A182" s="3" t="s">
        <v>367</v>
      </c>
      <c r="B182" s="4" t="s">
        <v>368</v>
      </c>
      <c r="C182" s="4">
        <v>2</v>
      </c>
      <c r="D182" s="5">
        <v>45947</v>
      </c>
      <c r="E182" s="5">
        <v>45973</v>
      </c>
      <c r="F182" s="7"/>
      <c r="G182" s="8"/>
      <c r="H182" s="4" t="s">
        <v>368</v>
      </c>
      <c r="I182" t="str">
        <f t="shared" si="6"/>
        <v>WW-22101</v>
      </c>
      <c r="J182" s="12">
        <f t="shared" si="7"/>
        <v>45973</v>
      </c>
      <c r="K182" s="13" t="str">
        <f t="shared" si="8"/>
        <v>0</v>
      </c>
      <c r="L182" s="13" cm="1">
        <f t="array" ref="L182">VALUE(_xlfn.IFS(ISERROR(FIND("(",C182,1)),C182,TRUE,MID(C182,FIND("(",C182,1)+1,LEN(C182)-FIND("(",C182,1)-1)))</f>
        <v>2</v>
      </c>
      <c r="N182" t="str">
        <f>_xlfn.LET(_xlpm.count, _xlfn.MAXIFS('DWG NO.ALL'!D:D,'DWG NO.ALL'!B:B,I182), IF(_xlpm.count=L182, "-", _xlpm.count))</f>
        <v>-</v>
      </c>
    </row>
    <row r="183" spans="1:14" ht="16.5">
      <c r="A183" s="3" t="s">
        <v>369</v>
      </c>
      <c r="B183" s="4" t="s">
        <v>370</v>
      </c>
      <c r="C183" s="4">
        <v>1</v>
      </c>
      <c r="D183" s="5">
        <v>45947</v>
      </c>
      <c r="E183" s="5">
        <v>45973</v>
      </c>
      <c r="F183" s="7"/>
      <c r="G183" s="8"/>
      <c r="H183" s="4" t="s">
        <v>370</v>
      </c>
      <c r="I183" t="str">
        <f t="shared" si="6"/>
        <v>WW-22201</v>
      </c>
      <c r="J183" s="12">
        <f t="shared" si="7"/>
        <v>45973</v>
      </c>
      <c r="K183" s="13" t="str">
        <f t="shared" si="8"/>
        <v>0</v>
      </c>
      <c r="L183" s="13" cm="1">
        <f t="array" ref="L183">VALUE(_xlfn.IFS(ISERROR(FIND("(",C183,1)),C183,TRUE,MID(C183,FIND("(",C183,1)+1,LEN(C183)-FIND("(",C183,1)-1)))</f>
        <v>1</v>
      </c>
      <c r="N183" t="str">
        <f>_xlfn.LET(_xlpm.count, _xlfn.MAXIFS('DWG NO.ALL'!D:D,'DWG NO.ALL'!B:B,I183), IF(_xlpm.count=L183, "-", _xlpm.count))</f>
        <v>-</v>
      </c>
    </row>
    <row r="184" spans="1:14" ht="16.5">
      <c r="A184" s="3" t="s">
        <v>371</v>
      </c>
      <c r="B184" s="4" t="s">
        <v>372</v>
      </c>
      <c r="C184" s="4">
        <v>2</v>
      </c>
      <c r="D184" s="5">
        <v>45947</v>
      </c>
      <c r="E184" s="5">
        <v>45973</v>
      </c>
      <c r="F184" s="7"/>
      <c r="G184" s="8"/>
      <c r="H184" s="4" t="s">
        <v>372</v>
      </c>
      <c r="I184" t="str">
        <f t="shared" si="6"/>
        <v>WW-22202</v>
      </c>
      <c r="J184" s="12">
        <f t="shared" si="7"/>
        <v>45973</v>
      </c>
      <c r="K184" s="13" t="str">
        <f t="shared" si="8"/>
        <v>0</v>
      </c>
      <c r="L184" s="13" cm="1">
        <f t="array" ref="L184">VALUE(_xlfn.IFS(ISERROR(FIND("(",C184,1)),C184,TRUE,MID(C184,FIND("(",C184,1)+1,LEN(C184)-FIND("(",C184,1)-1)))</f>
        <v>2</v>
      </c>
      <c r="N184" t="str">
        <f>_xlfn.LET(_xlpm.count, _xlfn.MAXIFS('DWG NO.ALL'!D:D,'DWG NO.ALL'!B:B,I184), IF(_xlpm.count=L184, "-", _xlpm.count))</f>
        <v>-</v>
      </c>
    </row>
    <row r="185" spans="1:14" ht="16.5">
      <c r="A185" s="3" t="s">
        <v>373</v>
      </c>
      <c r="B185" s="4" t="s">
        <v>374</v>
      </c>
      <c r="C185" s="4">
        <v>5</v>
      </c>
      <c r="D185" s="5">
        <v>45947</v>
      </c>
      <c r="E185" s="5">
        <v>45973</v>
      </c>
      <c r="F185" s="7"/>
      <c r="G185" s="8"/>
      <c r="H185" s="4" t="s">
        <v>374</v>
      </c>
      <c r="I185" t="str">
        <f t="shared" si="6"/>
        <v>WW-22371</v>
      </c>
      <c r="J185" s="12">
        <f t="shared" si="7"/>
        <v>45973</v>
      </c>
      <c r="K185" s="13" t="str">
        <f t="shared" si="8"/>
        <v>0</v>
      </c>
      <c r="L185" s="13" cm="1">
        <f t="array" ref="L185">VALUE(_xlfn.IFS(ISERROR(FIND("(",C185,1)),C185,TRUE,MID(C185,FIND("(",C185,1)+1,LEN(C185)-FIND("(",C185,1)-1)))</f>
        <v>5</v>
      </c>
      <c r="N185" t="str">
        <f>_xlfn.LET(_xlpm.count, _xlfn.MAXIFS('DWG NO.ALL'!D:D,'DWG NO.ALL'!B:B,I185), IF(_xlpm.count=L185, "-", _xlpm.count))</f>
        <v>-</v>
      </c>
    </row>
  </sheetData>
  <autoFilter ref="A1:N185" xr:uid="{80AFF548-45C0-844A-9F0E-606FE3E162CA}"/>
  <phoneticPr fontId="7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5BA8-FD27-0442-B854-40CF69DB2D5B}">
  <sheetPr>
    <tabColor rgb="FFFF0000"/>
  </sheetPr>
  <dimension ref="A1:J313"/>
  <sheetViews>
    <sheetView zoomScaleNormal="100" workbookViewId="0">
      <pane ySplit="1" topLeftCell="A13" activePane="bottomLeft" state="frozen"/>
      <selection pane="bottomLeft" activeCell="K31" sqref="K31"/>
    </sheetView>
  </sheetViews>
  <sheetFormatPr defaultColWidth="10.90625" defaultRowHeight="15" outlineLevelCol="1"/>
  <cols>
    <col min="1" max="1" width="35.81640625" hidden="1" customWidth="1" outlineLevel="1"/>
    <col min="2" max="2" width="22.5" customWidth="1" collapsed="1"/>
    <col min="3" max="3" width="0" hidden="1" customWidth="1" outlineLevel="1"/>
    <col min="4" max="4" width="13.5" hidden="1" customWidth="1" outlineLevel="1"/>
    <col min="5" max="5" width="12.5" hidden="1" customWidth="1" outlineLevel="1"/>
    <col min="6" max="6" width="14.1796875" hidden="1" customWidth="1" outlineLevel="1"/>
    <col min="7" max="7" width="31.81640625" bestFit="1" customWidth="1" collapsed="1"/>
    <col min="8" max="8" width="0" hidden="1" customWidth="1" outlineLevel="1"/>
    <col min="9" max="9" width="8.26953125" bestFit="1" customWidth="1" collapsed="1"/>
    <col min="10" max="10" width="29.90625" bestFit="1" customWidth="1"/>
  </cols>
  <sheetData>
    <row r="1" spans="1:10">
      <c r="A1" t="s">
        <v>691</v>
      </c>
      <c r="B1" t="s">
        <v>692</v>
      </c>
      <c r="C1" t="s">
        <v>694</v>
      </c>
      <c r="D1" t="s">
        <v>695</v>
      </c>
      <c r="E1" t="s">
        <v>693</v>
      </c>
      <c r="F1" t="s">
        <v>696</v>
      </c>
      <c r="G1" t="s">
        <v>697</v>
      </c>
      <c r="H1" t="s">
        <v>698</v>
      </c>
      <c r="I1" s="27" t="s">
        <v>699</v>
      </c>
      <c r="J1" s="27" t="s">
        <v>700</v>
      </c>
    </row>
    <row r="2" spans="1:10" hidden="1">
      <c r="A2" t="s">
        <v>381</v>
      </c>
      <c r="B2" t="str">
        <f>_xlfn.LET(_xlpm.pos,IF(ISNUMBER(FIND("TRIM",A2)), 3, 2), _xlfn.TEXTBEFORE(A2, "-", _xlpm.pos))</f>
        <v>CW-22101</v>
      </c>
      <c r="C2" t="str">
        <f>_xlfn.TEXTBEFORE(_xlfn.TEXTAFTER(A2,"-Rev"), "-")</f>
        <v>0</v>
      </c>
      <c r="D2">
        <f>VALUE(_xlfn.TEXTBEFORE(_xlfn.TEXTAFTER(A2, "-", -1), "."))</f>
        <v>1</v>
      </c>
      <c r="E2">
        <f>_xlfn.MAXIFS(D:D,B:B,B2)</f>
        <v>3</v>
      </c>
      <c r="F2" t="str">
        <f>_xlfn.LET(_xlpm.count, _xlfn.XLOOKUP(B2,'CL.SOL5--20251227'!I:I,'CL.SOL5--20251227'!L:L), IF(_xlpm.count=E2,"-", _xlpm.count))</f>
        <v>-</v>
      </c>
      <c r="G2" t="str">
        <f>_xlfn.TEXTBEFORE(A2,".")</f>
        <v>CW-22101-S1P1-Rev0-001</v>
      </c>
      <c r="H2" t="str">
        <f>_xlfn.LET(_xlpm.rev, _xlfn.XLOOKUP(B2,'CL.SOL5--20251227'!I:I,'CL.SOL5--20251227'!K:K), IF(_xlpm.rev=C2, "-", _xlpm.rev))</f>
        <v>-</v>
      </c>
      <c r="I2">
        <v>1</v>
      </c>
      <c r="J2" t="str">
        <f>_xlfn.XLOOKUP(B2,'CL.SOL5--20251227'!I:I,'CL.SOL5--20251227'!H:H)</f>
        <v>CW-22101-2"-S1P1</v>
      </c>
    </row>
    <row r="3" spans="1:10" hidden="1">
      <c r="A3" t="s">
        <v>382</v>
      </c>
      <c r="B3" t="str">
        <f t="shared" ref="B3:B66" si="0">_xlfn.LET(_xlpm.pos,IF(ISNUMBER(FIND("TRIM",A3)), 3, 2), _xlfn.TEXTBEFORE(A3, "-", _xlpm.pos))</f>
        <v>CW-22101</v>
      </c>
      <c r="C3" t="str">
        <f t="shared" ref="C3:C66" si="1">_xlfn.TEXTBEFORE(_xlfn.TEXTAFTER(A3,"-Rev"), "-")</f>
        <v>0</v>
      </c>
      <c r="D3">
        <f t="shared" ref="D3:D66" si="2">VALUE(_xlfn.TEXTBEFORE(_xlfn.TEXTAFTER(A3, "-", -1), "."))</f>
        <v>2</v>
      </c>
      <c r="E3">
        <f t="shared" ref="E3:E66" si="3">_xlfn.MAXIFS(D:D,B:B,B3)</f>
        <v>3</v>
      </c>
      <c r="F3" t="str">
        <f>_xlfn.LET(_xlpm.count, _xlfn.XLOOKUP(B3,'CL.SOL5--20251227'!I:I,'CL.SOL5--20251227'!L:L), IF(_xlpm.count=E3,"-", _xlpm.count))</f>
        <v>-</v>
      </c>
      <c r="G3" t="str">
        <f t="shared" ref="G3:G66" si="4">_xlfn.TEXTBEFORE(A3,".")</f>
        <v>CW-22101-S1P1-Rev0-002</v>
      </c>
      <c r="H3" t="str">
        <f>_xlfn.LET(_xlpm.rev, _xlfn.XLOOKUP(B3,'CL.SOL5--20251227'!I:I,'CL.SOL5--20251227'!K:K), IF(_xlpm.rev=C3, "-", _xlpm.rev))</f>
        <v>-</v>
      </c>
      <c r="I3">
        <v>2</v>
      </c>
      <c r="J3" t="str">
        <f>_xlfn.XLOOKUP(B3,'CL.SOL5--20251227'!I:I,'CL.SOL5--20251227'!H:H)</f>
        <v>CW-22101-2"-S1P1</v>
      </c>
    </row>
    <row r="4" spans="1:10" hidden="1">
      <c r="A4" t="s">
        <v>383</v>
      </c>
      <c r="B4" t="str">
        <f t="shared" si="0"/>
        <v>CW-22101</v>
      </c>
      <c r="C4" t="str">
        <f t="shared" si="1"/>
        <v>0</v>
      </c>
      <c r="D4">
        <f t="shared" si="2"/>
        <v>3</v>
      </c>
      <c r="E4">
        <f t="shared" si="3"/>
        <v>3</v>
      </c>
      <c r="F4" t="str">
        <f>_xlfn.LET(_xlpm.count, _xlfn.XLOOKUP(B4,'CL.SOL5--20251227'!I:I,'CL.SOL5--20251227'!L:L), IF(_xlpm.count=E4,"-", _xlpm.count))</f>
        <v>-</v>
      </c>
      <c r="G4" t="str">
        <f t="shared" si="4"/>
        <v>CW-22101-S1P1-Rev0-003</v>
      </c>
      <c r="H4" t="str">
        <f>_xlfn.LET(_xlpm.rev, _xlfn.XLOOKUP(B4,'CL.SOL5--20251227'!I:I,'CL.SOL5--20251227'!K:K), IF(_xlpm.rev=C4, "-", _xlpm.rev))</f>
        <v>-</v>
      </c>
      <c r="I4">
        <v>3</v>
      </c>
      <c r="J4" t="str">
        <f>_xlfn.XLOOKUP(B4,'CL.SOL5--20251227'!I:I,'CL.SOL5--20251227'!H:H)</f>
        <v>CW-22101-2"-S1P1</v>
      </c>
    </row>
    <row r="5" spans="1:10" hidden="1">
      <c r="A5" t="s">
        <v>384</v>
      </c>
      <c r="B5" t="str">
        <f t="shared" si="0"/>
        <v>CW-22102</v>
      </c>
      <c r="C5" t="str">
        <f t="shared" si="1"/>
        <v>0</v>
      </c>
      <c r="D5">
        <f t="shared" si="2"/>
        <v>1</v>
      </c>
      <c r="E5">
        <f t="shared" si="3"/>
        <v>3</v>
      </c>
      <c r="F5" t="str">
        <f>_xlfn.LET(_xlpm.count, _xlfn.XLOOKUP(B5,'CL.SOL5--20251227'!I:I,'CL.SOL5--20251227'!L:L), IF(_xlpm.count=E5,"-", _xlpm.count))</f>
        <v>-</v>
      </c>
      <c r="G5" t="str">
        <f t="shared" si="4"/>
        <v>CW-22102-S1P1-Rev0-001</v>
      </c>
      <c r="H5" t="str">
        <f>_xlfn.LET(_xlpm.rev, _xlfn.XLOOKUP(B5,'CL.SOL5--20251227'!I:I,'CL.SOL5--20251227'!K:K), IF(_xlpm.rev=C5, "-", _xlpm.rev))</f>
        <v>-</v>
      </c>
      <c r="I5">
        <v>4</v>
      </c>
      <c r="J5" t="str">
        <f>_xlfn.XLOOKUP(B5,'CL.SOL5--20251227'!I:I,'CL.SOL5--20251227'!H:H)</f>
        <v>CW-22102-2"-S1P1</v>
      </c>
    </row>
    <row r="6" spans="1:10" hidden="1">
      <c r="A6" t="s">
        <v>385</v>
      </c>
      <c r="B6" t="str">
        <f t="shared" si="0"/>
        <v>CW-22102</v>
      </c>
      <c r="C6" t="str">
        <f t="shared" si="1"/>
        <v>0</v>
      </c>
      <c r="D6">
        <f t="shared" si="2"/>
        <v>2</v>
      </c>
      <c r="E6">
        <f t="shared" si="3"/>
        <v>3</v>
      </c>
      <c r="F6" t="str">
        <f>_xlfn.LET(_xlpm.count, _xlfn.XLOOKUP(B6,'CL.SOL5--20251227'!I:I,'CL.SOL5--20251227'!L:L), IF(_xlpm.count=E6,"-", _xlpm.count))</f>
        <v>-</v>
      </c>
      <c r="G6" t="str">
        <f t="shared" si="4"/>
        <v>CW-22102-S1P1-Rev0-002</v>
      </c>
      <c r="H6" t="str">
        <f>_xlfn.LET(_xlpm.rev, _xlfn.XLOOKUP(B6,'CL.SOL5--20251227'!I:I,'CL.SOL5--20251227'!K:K), IF(_xlpm.rev=C6, "-", _xlpm.rev))</f>
        <v>-</v>
      </c>
      <c r="I6">
        <v>5</v>
      </c>
      <c r="J6" t="str">
        <f>_xlfn.XLOOKUP(B6,'CL.SOL5--20251227'!I:I,'CL.SOL5--20251227'!H:H)</f>
        <v>CW-22102-2"-S1P1</v>
      </c>
    </row>
    <row r="7" spans="1:10" hidden="1">
      <c r="A7" t="s">
        <v>386</v>
      </c>
      <c r="B7" t="str">
        <f t="shared" si="0"/>
        <v>CW-22102</v>
      </c>
      <c r="C7" t="str">
        <f t="shared" si="1"/>
        <v>0</v>
      </c>
      <c r="D7">
        <f t="shared" si="2"/>
        <v>3</v>
      </c>
      <c r="E7">
        <f t="shared" si="3"/>
        <v>3</v>
      </c>
      <c r="F7" t="str">
        <f>_xlfn.LET(_xlpm.count, _xlfn.XLOOKUP(B7,'CL.SOL5--20251227'!I:I,'CL.SOL5--20251227'!L:L), IF(_xlpm.count=E7,"-", _xlpm.count))</f>
        <v>-</v>
      </c>
      <c r="G7" t="str">
        <f t="shared" si="4"/>
        <v>CW-22102-S1P1-Rev0-003</v>
      </c>
      <c r="H7" t="str">
        <f>_xlfn.LET(_xlpm.rev, _xlfn.XLOOKUP(B7,'CL.SOL5--20251227'!I:I,'CL.SOL5--20251227'!K:K), IF(_xlpm.rev=C7, "-", _xlpm.rev))</f>
        <v>-</v>
      </c>
      <c r="I7">
        <v>6</v>
      </c>
      <c r="J7" t="str">
        <f>_xlfn.XLOOKUP(B7,'CL.SOL5--20251227'!I:I,'CL.SOL5--20251227'!H:H)</f>
        <v>CW-22102-2"-S1P1</v>
      </c>
    </row>
    <row r="8" spans="1:10" hidden="1">
      <c r="A8" t="s">
        <v>387</v>
      </c>
      <c r="B8" t="str">
        <f t="shared" si="0"/>
        <v>CW-22103</v>
      </c>
      <c r="C8" t="str">
        <f t="shared" si="1"/>
        <v>0</v>
      </c>
      <c r="D8">
        <f t="shared" si="2"/>
        <v>1</v>
      </c>
      <c r="E8">
        <f t="shared" si="3"/>
        <v>2</v>
      </c>
      <c r="F8" t="str">
        <f>_xlfn.LET(_xlpm.count, _xlfn.XLOOKUP(B8,'CL.SOL5--20251227'!I:I,'CL.SOL5--20251227'!L:L), IF(_xlpm.count=E8,"-", _xlpm.count))</f>
        <v>-</v>
      </c>
      <c r="G8" t="str">
        <f t="shared" si="4"/>
        <v>CW-22103-S1P1-Rev0-001</v>
      </c>
      <c r="H8" t="str">
        <f>_xlfn.LET(_xlpm.rev, _xlfn.XLOOKUP(B8,'CL.SOL5--20251227'!I:I,'CL.SOL5--20251227'!K:K), IF(_xlpm.rev=C8, "-", _xlpm.rev))</f>
        <v>-</v>
      </c>
      <c r="I8">
        <v>7</v>
      </c>
      <c r="J8" t="str">
        <f>_xlfn.XLOOKUP(B8,'CL.SOL5--20251227'!I:I,'CL.SOL5--20251227'!H:H)</f>
        <v>CW-22103-1"-S1P1</v>
      </c>
    </row>
    <row r="9" spans="1:10" hidden="1">
      <c r="A9" t="s">
        <v>388</v>
      </c>
      <c r="B9" t="str">
        <f t="shared" si="0"/>
        <v>CW-22103</v>
      </c>
      <c r="C9" t="str">
        <f t="shared" si="1"/>
        <v>0</v>
      </c>
      <c r="D9">
        <f t="shared" si="2"/>
        <v>2</v>
      </c>
      <c r="E9">
        <f t="shared" si="3"/>
        <v>2</v>
      </c>
      <c r="F9" t="str">
        <f>_xlfn.LET(_xlpm.count, _xlfn.XLOOKUP(B9,'CL.SOL5--20251227'!I:I,'CL.SOL5--20251227'!L:L), IF(_xlpm.count=E9,"-", _xlpm.count))</f>
        <v>-</v>
      </c>
      <c r="G9" t="str">
        <f t="shared" si="4"/>
        <v>CW-22103-S1P1-Rev0-002</v>
      </c>
      <c r="H9" t="str">
        <f>_xlfn.LET(_xlpm.rev, _xlfn.XLOOKUP(B9,'CL.SOL5--20251227'!I:I,'CL.SOL5--20251227'!K:K), IF(_xlpm.rev=C9, "-", _xlpm.rev))</f>
        <v>-</v>
      </c>
      <c r="I9">
        <v>8</v>
      </c>
      <c r="J9" t="str">
        <f>_xlfn.XLOOKUP(B9,'CL.SOL5--20251227'!I:I,'CL.SOL5--20251227'!H:H)</f>
        <v>CW-22103-1"-S1P1</v>
      </c>
    </row>
    <row r="10" spans="1:10" hidden="1">
      <c r="A10" t="s">
        <v>389</v>
      </c>
      <c r="B10" t="str">
        <f t="shared" si="0"/>
        <v>CW-22104</v>
      </c>
      <c r="C10" t="str">
        <f t="shared" si="1"/>
        <v>0</v>
      </c>
      <c r="D10">
        <f t="shared" si="2"/>
        <v>1</v>
      </c>
      <c r="E10">
        <f t="shared" si="3"/>
        <v>3</v>
      </c>
      <c r="F10" t="str">
        <f>_xlfn.LET(_xlpm.count, _xlfn.XLOOKUP(B10,'CL.SOL5--20251227'!I:I,'CL.SOL5--20251227'!L:L), IF(_xlpm.count=E10,"-", _xlpm.count))</f>
        <v>-</v>
      </c>
      <c r="G10" t="str">
        <f t="shared" si="4"/>
        <v>CW-22104-S1P1-Rev0-001</v>
      </c>
      <c r="H10" t="str">
        <f>_xlfn.LET(_xlpm.rev, _xlfn.XLOOKUP(B10,'CL.SOL5--20251227'!I:I,'CL.SOL5--20251227'!K:K), IF(_xlpm.rev=C10, "-", _xlpm.rev))</f>
        <v>-</v>
      </c>
      <c r="I10">
        <v>9</v>
      </c>
      <c r="J10" t="str">
        <f>_xlfn.XLOOKUP(B10,'CL.SOL5--20251227'!I:I,'CL.SOL5--20251227'!H:H)</f>
        <v>CW-22104-1"-S1P1</v>
      </c>
    </row>
    <row r="11" spans="1:10" hidden="1">
      <c r="A11" t="s">
        <v>390</v>
      </c>
      <c r="B11" t="str">
        <f t="shared" si="0"/>
        <v>CW-22104</v>
      </c>
      <c r="C11" t="str">
        <f t="shared" si="1"/>
        <v>0</v>
      </c>
      <c r="D11">
        <f t="shared" si="2"/>
        <v>2</v>
      </c>
      <c r="E11">
        <f t="shared" si="3"/>
        <v>3</v>
      </c>
      <c r="F11" t="str">
        <f>_xlfn.LET(_xlpm.count, _xlfn.XLOOKUP(B11,'CL.SOL5--20251227'!I:I,'CL.SOL5--20251227'!L:L), IF(_xlpm.count=E11,"-", _xlpm.count))</f>
        <v>-</v>
      </c>
      <c r="G11" t="str">
        <f t="shared" si="4"/>
        <v>CW-22104-S1P1-Rev0-002</v>
      </c>
      <c r="H11" t="str">
        <f>_xlfn.LET(_xlpm.rev, _xlfn.XLOOKUP(B11,'CL.SOL5--20251227'!I:I,'CL.SOL5--20251227'!K:K), IF(_xlpm.rev=C11, "-", _xlpm.rev))</f>
        <v>-</v>
      </c>
      <c r="I11">
        <v>10</v>
      </c>
      <c r="J11" t="str">
        <f>_xlfn.XLOOKUP(B11,'CL.SOL5--20251227'!I:I,'CL.SOL5--20251227'!H:H)</f>
        <v>CW-22104-1"-S1P1</v>
      </c>
    </row>
    <row r="12" spans="1:10" hidden="1">
      <c r="A12" t="s">
        <v>391</v>
      </c>
      <c r="B12" t="str">
        <f t="shared" si="0"/>
        <v>CW-22104</v>
      </c>
      <c r="C12" t="str">
        <f t="shared" si="1"/>
        <v>0</v>
      </c>
      <c r="D12">
        <f t="shared" si="2"/>
        <v>3</v>
      </c>
      <c r="E12">
        <f t="shared" si="3"/>
        <v>3</v>
      </c>
      <c r="F12" t="str">
        <f>_xlfn.LET(_xlpm.count, _xlfn.XLOOKUP(B12,'CL.SOL5--20251227'!I:I,'CL.SOL5--20251227'!L:L), IF(_xlpm.count=E12,"-", _xlpm.count))</f>
        <v>-</v>
      </c>
      <c r="G12" t="str">
        <f t="shared" si="4"/>
        <v>CW-22104-S1P1-Rev0-003</v>
      </c>
      <c r="H12" t="str">
        <f>_xlfn.LET(_xlpm.rev, _xlfn.XLOOKUP(B12,'CL.SOL5--20251227'!I:I,'CL.SOL5--20251227'!K:K), IF(_xlpm.rev=C12, "-", _xlpm.rev))</f>
        <v>-</v>
      </c>
      <c r="I12">
        <v>11</v>
      </c>
      <c r="J12" t="str">
        <f>_xlfn.XLOOKUP(B12,'CL.SOL5--20251227'!I:I,'CL.SOL5--20251227'!H:H)</f>
        <v>CW-22104-1"-S1P1</v>
      </c>
    </row>
    <row r="13" spans="1:10">
      <c r="A13" t="s">
        <v>392</v>
      </c>
      <c r="B13" t="str">
        <f t="shared" si="0"/>
        <v>CW-22105</v>
      </c>
      <c r="C13" t="str">
        <f t="shared" si="1"/>
        <v>0</v>
      </c>
      <c r="D13">
        <f t="shared" si="2"/>
        <v>1</v>
      </c>
      <c r="E13">
        <f t="shared" si="3"/>
        <v>2</v>
      </c>
      <c r="F13" t="str">
        <f>_xlfn.LET(_xlpm.count, _xlfn.XLOOKUP(B13,'CL.SOL5--20251227'!I:I,'CL.SOL5--20251227'!L:L), IF(_xlpm.count=E13,"-", _xlpm.count))</f>
        <v>-</v>
      </c>
      <c r="G13" t="str">
        <f t="shared" si="4"/>
        <v>CW-22105-S1P1-Rev0-001</v>
      </c>
      <c r="H13" t="str">
        <f>_xlfn.LET(_xlpm.rev, _xlfn.XLOOKUP(B13,'CL.SOL5--20251227'!I:I,'CL.SOL5--20251227'!K:K), IF(_xlpm.rev=C13, "-", _xlpm.rev))</f>
        <v>-</v>
      </c>
      <c r="I13" s="28">
        <v>12</v>
      </c>
      <c r="J13" s="28" t="str">
        <f>_xlfn.XLOOKUP(B13,'CL.SOL5--20251227'!I:I,'CL.SOL5--20251227'!H:H)</f>
        <v>CW-22105-4"-S1P1</v>
      </c>
    </row>
    <row r="14" spans="1:10">
      <c r="A14" t="s">
        <v>393</v>
      </c>
      <c r="B14" t="str">
        <f t="shared" si="0"/>
        <v>CW-22105</v>
      </c>
      <c r="C14" t="str">
        <f t="shared" si="1"/>
        <v>0</v>
      </c>
      <c r="D14">
        <f t="shared" si="2"/>
        <v>2</v>
      </c>
      <c r="E14">
        <f t="shared" si="3"/>
        <v>2</v>
      </c>
      <c r="F14" t="str">
        <f>_xlfn.LET(_xlpm.count, _xlfn.XLOOKUP(B14,'CL.SOL5--20251227'!I:I,'CL.SOL5--20251227'!L:L), IF(_xlpm.count=E14,"-", _xlpm.count))</f>
        <v>-</v>
      </c>
      <c r="G14" t="str">
        <f t="shared" si="4"/>
        <v>CW-22105-S1P1-Rev0-002</v>
      </c>
      <c r="H14" t="str">
        <f>_xlfn.LET(_xlpm.rev, _xlfn.XLOOKUP(B14,'CL.SOL5--20251227'!I:I,'CL.SOL5--20251227'!K:K), IF(_xlpm.rev=C14, "-", _xlpm.rev))</f>
        <v>-</v>
      </c>
      <c r="I14" s="28">
        <v>13</v>
      </c>
      <c r="J14" s="28" t="str">
        <f>_xlfn.XLOOKUP(B14,'CL.SOL5--20251227'!I:I,'CL.SOL5--20251227'!H:H)</f>
        <v>CW-22105-4"-S1P1</v>
      </c>
    </row>
    <row r="15" spans="1:10">
      <c r="A15" t="s">
        <v>394</v>
      </c>
      <c r="B15" t="str">
        <f t="shared" si="0"/>
        <v>CW-22106</v>
      </c>
      <c r="C15" t="str">
        <f t="shared" si="1"/>
        <v>0</v>
      </c>
      <c r="D15">
        <f t="shared" si="2"/>
        <v>1</v>
      </c>
      <c r="E15">
        <f t="shared" si="3"/>
        <v>3</v>
      </c>
      <c r="F15" t="str">
        <f>_xlfn.LET(_xlpm.count, _xlfn.XLOOKUP(B15,'CL.SOL5--20251227'!I:I,'CL.SOL5--20251227'!L:L), IF(_xlpm.count=E15,"-", _xlpm.count))</f>
        <v>-</v>
      </c>
      <c r="G15" t="str">
        <f t="shared" si="4"/>
        <v>CW-22106-S1P1-Rev0-001</v>
      </c>
      <c r="H15" t="str">
        <f>_xlfn.LET(_xlpm.rev, _xlfn.XLOOKUP(B15,'CL.SOL5--20251227'!I:I,'CL.SOL5--20251227'!K:K), IF(_xlpm.rev=C15, "-", _xlpm.rev))</f>
        <v>-</v>
      </c>
      <c r="I15" s="28">
        <v>14</v>
      </c>
      <c r="J15" s="28" t="str">
        <f>_xlfn.XLOOKUP(B15,'CL.SOL5--20251227'!I:I,'CL.SOL5--20251227'!H:H)</f>
        <v>CW-22106-4"-S1P1</v>
      </c>
    </row>
    <row r="16" spans="1:10">
      <c r="A16" t="s">
        <v>395</v>
      </c>
      <c r="B16" t="str">
        <f t="shared" si="0"/>
        <v>CW-22106</v>
      </c>
      <c r="C16" t="str">
        <f t="shared" si="1"/>
        <v>0</v>
      </c>
      <c r="D16">
        <f t="shared" si="2"/>
        <v>2</v>
      </c>
      <c r="E16">
        <f t="shared" si="3"/>
        <v>3</v>
      </c>
      <c r="F16" t="str">
        <f>_xlfn.LET(_xlpm.count, _xlfn.XLOOKUP(B16,'CL.SOL5--20251227'!I:I,'CL.SOL5--20251227'!L:L), IF(_xlpm.count=E16,"-", _xlpm.count))</f>
        <v>-</v>
      </c>
      <c r="G16" t="str">
        <f t="shared" si="4"/>
        <v>CW-22106-S1P1-Rev0-002</v>
      </c>
      <c r="H16" t="str">
        <f>_xlfn.LET(_xlpm.rev, _xlfn.XLOOKUP(B16,'CL.SOL5--20251227'!I:I,'CL.SOL5--20251227'!K:K), IF(_xlpm.rev=C16, "-", _xlpm.rev))</f>
        <v>-</v>
      </c>
      <c r="I16" s="28">
        <v>15</v>
      </c>
      <c r="J16" s="28" t="str">
        <f>_xlfn.XLOOKUP(B16,'CL.SOL5--20251227'!I:I,'CL.SOL5--20251227'!H:H)</f>
        <v>CW-22106-4"-S1P1</v>
      </c>
    </row>
    <row r="17" spans="1:10">
      <c r="A17" t="s">
        <v>396</v>
      </c>
      <c r="B17" t="str">
        <f t="shared" si="0"/>
        <v>CW-22106</v>
      </c>
      <c r="C17" t="str">
        <f t="shared" si="1"/>
        <v>0</v>
      </c>
      <c r="D17">
        <f t="shared" si="2"/>
        <v>3</v>
      </c>
      <c r="E17">
        <f t="shared" si="3"/>
        <v>3</v>
      </c>
      <c r="F17" t="str">
        <f>_xlfn.LET(_xlpm.count, _xlfn.XLOOKUP(B17,'CL.SOL5--20251227'!I:I,'CL.SOL5--20251227'!L:L), IF(_xlpm.count=E17,"-", _xlpm.count))</f>
        <v>-</v>
      </c>
      <c r="G17" t="str">
        <f t="shared" si="4"/>
        <v>CW-22106-S1P1-Rev0-003</v>
      </c>
      <c r="H17" t="str">
        <f>_xlfn.LET(_xlpm.rev, _xlfn.XLOOKUP(B17,'CL.SOL5--20251227'!I:I,'CL.SOL5--20251227'!K:K), IF(_xlpm.rev=C17, "-", _xlpm.rev))</f>
        <v>-</v>
      </c>
      <c r="I17" s="28">
        <v>16</v>
      </c>
      <c r="J17" s="28" t="str">
        <f>_xlfn.XLOOKUP(B17,'CL.SOL5--20251227'!I:I,'CL.SOL5--20251227'!H:H)</f>
        <v>CW-22106-4"-S1P1</v>
      </c>
    </row>
    <row r="18" spans="1:10" hidden="1">
      <c r="A18" t="s">
        <v>397</v>
      </c>
      <c r="B18" t="str">
        <f t="shared" si="0"/>
        <v>CW-22201</v>
      </c>
      <c r="C18" t="str">
        <f t="shared" si="1"/>
        <v>0</v>
      </c>
      <c r="D18">
        <f t="shared" si="2"/>
        <v>1</v>
      </c>
      <c r="E18">
        <f t="shared" si="3"/>
        <v>3</v>
      </c>
      <c r="F18" t="str">
        <f>_xlfn.LET(_xlpm.count, _xlfn.XLOOKUP(B18,'CL.SOL5--20251227'!I:I,'CL.SOL5--20251227'!L:L), IF(_xlpm.count=E18,"-", _xlpm.count))</f>
        <v>-</v>
      </c>
      <c r="G18" t="str">
        <f t="shared" si="4"/>
        <v>CW-22201-S1P1-Rev0-001</v>
      </c>
      <c r="H18" t="str">
        <f>_xlfn.LET(_xlpm.rev, _xlfn.XLOOKUP(B18,'CL.SOL5--20251227'!I:I,'CL.SOL5--20251227'!K:K), IF(_xlpm.rev=C18, "-", _xlpm.rev))</f>
        <v>-</v>
      </c>
      <c r="I18">
        <v>17</v>
      </c>
      <c r="J18" t="str">
        <f>_xlfn.XLOOKUP(B18,'CL.SOL5--20251227'!I:I,'CL.SOL5--20251227'!H:H)</f>
        <v>CW-22201-3"-S1P1</v>
      </c>
    </row>
    <row r="19" spans="1:10" hidden="1">
      <c r="A19" t="s">
        <v>398</v>
      </c>
      <c r="B19" t="str">
        <f t="shared" si="0"/>
        <v>CW-22201</v>
      </c>
      <c r="C19" t="str">
        <f t="shared" si="1"/>
        <v>0</v>
      </c>
      <c r="D19">
        <f t="shared" si="2"/>
        <v>2</v>
      </c>
      <c r="E19">
        <f t="shared" si="3"/>
        <v>3</v>
      </c>
      <c r="F19" t="str">
        <f>_xlfn.LET(_xlpm.count, _xlfn.XLOOKUP(B19,'CL.SOL5--20251227'!I:I,'CL.SOL5--20251227'!L:L), IF(_xlpm.count=E19,"-", _xlpm.count))</f>
        <v>-</v>
      </c>
      <c r="G19" t="str">
        <f t="shared" si="4"/>
        <v>CW-22201-S1P1-Rev0-002</v>
      </c>
      <c r="H19" t="str">
        <f>_xlfn.LET(_xlpm.rev, _xlfn.XLOOKUP(B19,'CL.SOL5--20251227'!I:I,'CL.SOL5--20251227'!K:K), IF(_xlpm.rev=C19, "-", _xlpm.rev))</f>
        <v>-</v>
      </c>
      <c r="I19">
        <v>18</v>
      </c>
      <c r="J19" t="str">
        <f>_xlfn.XLOOKUP(B19,'CL.SOL5--20251227'!I:I,'CL.SOL5--20251227'!H:H)</f>
        <v>CW-22201-3"-S1P1</v>
      </c>
    </row>
    <row r="20" spans="1:10" hidden="1">
      <c r="A20" t="s">
        <v>399</v>
      </c>
      <c r="B20" t="str">
        <f t="shared" si="0"/>
        <v>CW-22201</v>
      </c>
      <c r="C20" t="str">
        <f t="shared" si="1"/>
        <v>0</v>
      </c>
      <c r="D20">
        <f t="shared" si="2"/>
        <v>3</v>
      </c>
      <c r="E20">
        <f t="shared" si="3"/>
        <v>3</v>
      </c>
      <c r="F20" t="str">
        <f>_xlfn.LET(_xlpm.count, _xlfn.XLOOKUP(B20,'CL.SOL5--20251227'!I:I,'CL.SOL5--20251227'!L:L), IF(_xlpm.count=E20,"-", _xlpm.count))</f>
        <v>-</v>
      </c>
      <c r="G20" t="str">
        <f t="shared" si="4"/>
        <v>CW-22201-S1P1-Rev0-003</v>
      </c>
      <c r="H20" t="str">
        <f>_xlfn.LET(_xlpm.rev, _xlfn.XLOOKUP(B20,'CL.SOL5--20251227'!I:I,'CL.SOL5--20251227'!K:K), IF(_xlpm.rev=C20, "-", _xlpm.rev))</f>
        <v>-</v>
      </c>
      <c r="I20">
        <v>19</v>
      </c>
      <c r="J20" t="str">
        <f>_xlfn.XLOOKUP(B20,'CL.SOL5--20251227'!I:I,'CL.SOL5--20251227'!H:H)</f>
        <v>CW-22201-3"-S1P1</v>
      </c>
    </row>
    <row r="21" spans="1:10" hidden="1">
      <c r="A21" t="s">
        <v>400</v>
      </c>
      <c r="B21" t="str">
        <f t="shared" si="0"/>
        <v>CW-22202</v>
      </c>
      <c r="C21" t="str">
        <f t="shared" si="1"/>
        <v>0</v>
      </c>
      <c r="D21">
        <f t="shared" si="2"/>
        <v>1</v>
      </c>
      <c r="E21">
        <f t="shared" si="3"/>
        <v>3</v>
      </c>
      <c r="F21" t="str">
        <f>_xlfn.LET(_xlpm.count, _xlfn.XLOOKUP(B21,'CL.SOL5--20251227'!I:I,'CL.SOL5--20251227'!L:L), IF(_xlpm.count=E21,"-", _xlpm.count))</f>
        <v>-</v>
      </c>
      <c r="G21" t="str">
        <f t="shared" si="4"/>
        <v>CW-22202-S1P1-Rev0-001</v>
      </c>
      <c r="H21" t="str">
        <f>_xlfn.LET(_xlpm.rev, _xlfn.XLOOKUP(B21,'CL.SOL5--20251227'!I:I,'CL.SOL5--20251227'!K:K), IF(_xlpm.rev=C21, "-", _xlpm.rev))</f>
        <v>-</v>
      </c>
      <c r="I21">
        <v>20</v>
      </c>
      <c r="J21" t="str">
        <f>_xlfn.XLOOKUP(B21,'CL.SOL5--20251227'!I:I,'CL.SOL5--20251227'!H:H)</f>
        <v>CW-22202-3"-S1P1</v>
      </c>
    </row>
    <row r="22" spans="1:10" hidden="1">
      <c r="A22" t="s">
        <v>401</v>
      </c>
      <c r="B22" t="str">
        <f t="shared" si="0"/>
        <v>CW-22202</v>
      </c>
      <c r="C22" t="str">
        <f t="shared" si="1"/>
        <v>0</v>
      </c>
      <c r="D22">
        <f t="shared" si="2"/>
        <v>2</v>
      </c>
      <c r="E22">
        <f t="shared" si="3"/>
        <v>3</v>
      </c>
      <c r="F22" t="str">
        <f>_xlfn.LET(_xlpm.count, _xlfn.XLOOKUP(B22,'CL.SOL5--20251227'!I:I,'CL.SOL5--20251227'!L:L), IF(_xlpm.count=E22,"-", _xlpm.count))</f>
        <v>-</v>
      </c>
      <c r="G22" t="str">
        <f t="shared" si="4"/>
        <v>CW-22202-S1P1-Rev0-002</v>
      </c>
      <c r="H22" t="str">
        <f>_xlfn.LET(_xlpm.rev, _xlfn.XLOOKUP(B22,'CL.SOL5--20251227'!I:I,'CL.SOL5--20251227'!K:K), IF(_xlpm.rev=C22, "-", _xlpm.rev))</f>
        <v>-</v>
      </c>
      <c r="I22">
        <v>21</v>
      </c>
      <c r="J22" t="str">
        <f>_xlfn.XLOOKUP(B22,'CL.SOL5--20251227'!I:I,'CL.SOL5--20251227'!H:H)</f>
        <v>CW-22202-3"-S1P1</v>
      </c>
    </row>
    <row r="23" spans="1:10" hidden="1">
      <c r="A23" t="s">
        <v>402</v>
      </c>
      <c r="B23" t="str">
        <f t="shared" si="0"/>
        <v>CW-22202</v>
      </c>
      <c r="C23" t="str">
        <f t="shared" si="1"/>
        <v>0</v>
      </c>
      <c r="D23">
        <f t="shared" si="2"/>
        <v>3</v>
      </c>
      <c r="E23">
        <f t="shared" si="3"/>
        <v>3</v>
      </c>
      <c r="F23" t="str">
        <f>_xlfn.LET(_xlpm.count, _xlfn.XLOOKUP(B23,'CL.SOL5--20251227'!I:I,'CL.SOL5--20251227'!L:L), IF(_xlpm.count=E23,"-", _xlpm.count))</f>
        <v>-</v>
      </c>
      <c r="G23" t="str">
        <f t="shared" si="4"/>
        <v>CW-22202-S1P1-Rev0-003</v>
      </c>
      <c r="H23" t="str">
        <f>_xlfn.LET(_xlpm.rev, _xlfn.XLOOKUP(B23,'CL.SOL5--20251227'!I:I,'CL.SOL5--20251227'!K:K), IF(_xlpm.rev=C23, "-", _xlpm.rev))</f>
        <v>-</v>
      </c>
      <c r="I23">
        <v>22</v>
      </c>
      <c r="J23" t="str">
        <f>_xlfn.XLOOKUP(B23,'CL.SOL5--20251227'!I:I,'CL.SOL5--20251227'!H:H)</f>
        <v>CW-22202-3"-S1P1</v>
      </c>
    </row>
    <row r="24" spans="1:10" hidden="1">
      <c r="A24" t="s">
        <v>403</v>
      </c>
      <c r="B24" t="str">
        <f t="shared" si="0"/>
        <v>CW-22203</v>
      </c>
      <c r="C24" t="str">
        <f t="shared" si="1"/>
        <v>0</v>
      </c>
      <c r="D24">
        <f t="shared" si="2"/>
        <v>1</v>
      </c>
      <c r="E24">
        <f t="shared" si="3"/>
        <v>2</v>
      </c>
      <c r="F24" t="str">
        <f>_xlfn.LET(_xlpm.count, _xlfn.XLOOKUP(B24,'CL.SOL5--20251227'!I:I,'CL.SOL5--20251227'!L:L), IF(_xlpm.count=E24,"-", _xlpm.count))</f>
        <v>-</v>
      </c>
      <c r="G24" t="str">
        <f t="shared" si="4"/>
        <v>CW-22203-S1P1-Rev0-001</v>
      </c>
      <c r="H24" t="str">
        <f>_xlfn.LET(_xlpm.rev, _xlfn.XLOOKUP(B24,'CL.SOL5--20251227'!I:I,'CL.SOL5--20251227'!K:K), IF(_xlpm.rev=C24, "-", _xlpm.rev))</f>
        <v>-</v>
      </c>
      <c r="I24">
        <v>23</v>
      </c>
      <c r="J24" t="str">
        <f>_xlfn.XLOOKUP(B24,'CL.SOL5--20251227'!I:I,'CL.SOL5--20251227'!H:H)</f>
        <v>CW-22203-2"-S1P1</v>
      </c>
    </row>
    <row r="25" spans="1:10" hidden="1">
      <c r="A25" t="s">
        <v>404</v>
      </c>
      <c r="B25" t="str">
        <f t="shared" si="0"/>
        <v>CW-22203</v>
      </c>
      <c r="C25" t="str">
        <f t="shared" si="1"/>
        <v>0</v>
      </c>
      <c r="D25">
        <f t="shared" si="2"/>
        <v>2</v>
      </c>
      <c r="E25">
        <f t="shared" si="3"/>
        <v>2</v>
      </c>
      <c r="F25" t="str">
        <f>_xlfn.LET(_xlpm.count, _xlfn.XLOOKUP(B25,'CL.SOL5--20251227'!I:I,'CL.SOL5--20251227'!L:L), IF(_xlpm.count=E25,"-", _xlpm.count))</f>
        <v>-</v>
      </c>
      <c r="G25" t="str">
        <f t="shared" si="4"/>
        <v>CW-22203-S1P1-Rev0-002</v>
      </c>
      <c r="H25" t="str">
        <f>_xlfn.LET(_xlpm.rev, _xlfn.XLOOKUP(B25,'CL.SOL5--20251227'!I:I,'CL.SOL5--20251227'!K:K), IF(_xlpm.rev=C25, "-", _xlpm.rev))</f>
        <v>-</v>
      </c>
      <c r="I25">
        <v>24</v>
      </c>
      <c r="J25" t="str">
        <f>_xlfn.XLOOKUP(B25,'CL.SOL5--20251227'!I:I,'CL.SOL5--20251227'!H:H)</f>
        <v>CW-22203-2"-S1P1</v>
      </c>
    </row>
    <row r="26" spans="1:10" hidden="1">
      <c r="A26" t="s">
        <v>405</v>
      </c>
      <c r="B26" t="str">
        <f t="shared" si="0"/>
        <v>CW-22204</v>
      </c>
      <c r="C26" t="str">
        <f t="shared" si="1"/>
        <v>0</v>
      </c>
      <c r="D26">
        <f t="shared" si="2"/>
        <v>1</v>
      </c>
      <c r="E26">
        <f t="shared" si="3"/>
        <v>4</v>
      </c>
      <c r="F26" t="str">
        <f>_xlfn.LET(_xlpm.count, _xlfn.XLOOKUP(B26,'CL.SOL5--20251227'!I:I,'CL.SOL5--20251227'!L:L), IF(_xlpm.count=E26,"-", _xlpm.count))</f>
        <v>-</v>
      </c>
      <c r="G26" t="str">
        <f t="shared" si="4"/>
        <v>CW-22204-S1P1-Rev0-001</v>
      </c>
      <c r="H26" t="str">
        <f>_xlfn.LET(_xlpm.rev, _xlfn.XLOOKUP(B26,'CL.SOL5--20251227'!I:I,'CL.SOL5--20251227'!K:K), IF(_xlpm.rev=C26, "-", _xlpm.rev))</f>
        <v>-</v>
      </c>
      <c r="I26">
        <v>25</v>
      </c>
      <c r="J26" t="str">
        <f>_xlfn.XLOOKUP(B26,'CL.SOL5--20251227'!I:I,'CL.SOL5--20251227'!H:H)</f>
        <v>CW-22204-2"-S1P1</v>
      </c>
    </row>
    <row r="27" spans="1:10" hidden="1">
      <c r="A27" t="s">
        <v>406</v>
      </c>
      <c r="B27" t="str">
        <f t="shared" si="0"/>
        <v>CW-22204</v>
      </c>
      <c r="C27" t="str">
        <f t="shared" si="1"/>
        <v>0</v>
      </c>
      <c r="D27">
        <f t="shared" si="2"/>
        <v>2</v>
      </c>
      <c r="E27">
        <f t="shared" si="3"/>
        <v>4</v>
      </c>
      <c r="F27" t="str">
        <f>_xlfn.LET(_xlpm.count, _xlfn.XLOOKUP(B27,'CL.SOL5--20251227'!I:I,'CL.SOL5--20251227'!L:L), IF(_xlpm.count=E27,"-", _xlpm.count))</f>
        <v>-</v>
      </c>
      <c r="G27" t="str">
        <f t="shared" si="4"/>
        <v>CW-22204-S1P1-Rev0-002</v>
      </c>
      <c r="H27" t="str">
        <f>_xlfn.LET(_xlpm.rev, _xlfn.XLOOKUP(B27,'CL.SOL5--20251227'!I:I,'CL.SOL5--20251227'!K:K), IF(_xlpm.rev=C27, "-", _xlpm.rev))</f>
        <v>-</v>
      </c>
      <c r="I27">
        <v>26</v>
      </c>
      <c r="J27" t="str">
        <f>_xlfn.XLOOKUP(B27,'CL.SOL5--20251227'!I:I,'CL.SOL5--20251227'!H:H)</f>
        <v>CW-22204-2"-S1P1</v>
      </c>
    </row>
    <row r="28" spans="1:10" hidden="1">
      <c r="A28" t="s">
        <v>407</v>
      </c>
      <c r="B28" t="str">
        <f t="shared" si="0"/>
        <v>CW-22204</v>
      </c>
      <c r="C28" t="str">
        <f t="shared" si="1"/>
        <v>0</v>
      </c>
      <c r="D28">
        <f t="shared" si="2"/>
        <v>3</v>
      </c>
      <c r="E28">
        <f t="shared" si="3"/>
        <v>4</v>
      </c>
      <c r="F28" t="str">
        <f>_xlfn.LET(_xlpm.count, _xlfn.XLOOKUP(B28,'CL.SOL5--20251227'!I:I,'CL.SOL5--20251227'!L:L), IF(_xlpm.count=E28,"-", _xlpm.count))</f>
        <v>-</v>
      </c>
      <c r="G28" t="str">
        <f t="shared" si="4"/>
        <v>CW-22204-S1P1-Rev0-003</v>
      </c>
      <c r="H28" t="str">
        <f>_xlfn.LET(_xlpm.rev, _xlfn.XLOOKUP(B28,'CL.SOL5--20251227'!I:I,'CL.SOL5--20251227'!K:K), IF(_xlpm.rev=C28, "-", _xlpm.rev))</f>
        <v>-</v>
      </c>
      <c r="I28">
        <v>27</v>
      </c>
      <c r="J28" t="str">
        <f>_xlfn.XLOOKUP(B28,'CL.SOL5--20251227'!I:I,'CL.SOL5--20251227'!H:H)</f>
        <v>CW-22204-2"-S1P1</v>
      </c>
    </row>
    <row r="29" spans="1:10" hidden="1">
      <c r="A29" t="s">
        <v>408</v>
      </c>
      <c r="B29" t="str">
        <f t="shared" si="0"/>
        <v>CW-22204</v>
      </c>
      <c r="C29" t="str">
        <f t="shared" si="1"/>
        <v>0</v>
      </c>
      <c r="D29">
        <f t="shared" si="2"/>
        <v>4</v>
      </c>
      <c r="E29">
        <f t="shared" si="3"/>
        <v>4</v>
      </c>
      <c r="F29" t="str">
        <f>_xlfn.LET(_xlpm.count, _xlfn.XLOOKUP(B29,'CL.SOL5--20251227'!I:I,'CL.SOL5--20251227'!L:L), IF(_xlpm.count=E29,"-", _xlpm.count))</f>
        <v>-</v>
      </c>
      <c r="G29" t="str">
        <f t="shared" si="4"/>
        <v>CW-22204-S1P1-Rev0-004</v>
      </c>
      <c r="H29" t="str">
        <f>_xlfn.LET(_xlpm.rev, _xlfn.XLOOKUP(B29,'CL.SOL5--20251227'!I:I,'CL.SOL5--20251227'!K:K), IF(_xlpm.rev=C29, "-", _xlpm.rev))</f>
        <v>-</v>
      </c>
      <c r="I29">
        <v>28</v>
      </c>
      <c r="J29" t="str">
        <f>_xlfn.XLOOKUP(B29,'CL.SOL5--20251227'!I:I,'CL.SOL5--20251227'!H:H)</f>
        <v>CW-22204-2"-S1P1</v>
      </c>
    </row>
    <row r="30" spans="1:10">
      <c r="A30" t="s">
        <v>409</v>
      </c>
      <c r="B30" t="str">
        <f t="shared" si="0"/>
        <v>CW-22205</v>
      </c>
      <c r="C30" t="str">
        <f t="shared" si="1"/>
        <v>0</v>
      </c>
      <c r="D30">
        <f t="shared" si="2"/>
        <v>1</v>
      </c>
      <c r="E30">
        <f t="shared" si="3"/>
        <v>2</v>
      </c>
      <c r="F30" t="str">
        <f>_xlfn.LET(_xlpm.count, _xlfn.XLOOKUP(B30,'CL.SOL5--20251227'!I:I,'CL.SOL5--20251227'!L:L), IF(_xlpm.count=E30,"-", _xlpm.count))</f>
        <v>-</v>
      </c>
      <c r="G30" t="str">
        <f t="shared" si="4"/>
        <v>CW-22205-S1P1-Rev0-001</v>
      </c>
      <c r="H30" t="str">
        <f>_xlfn.LET(_xlpm.rev, _xlfn.XLOOKUP(B30,'CL.SOL5--20251227'!I:I,'CL.SOL5--20251227'!K:K), IF(_xlpm.rev=C30, "-", _xlpm.rev))</f>
        <v>-</v>
      </c>
      <c r="I30" s="28">
        <v>29</v>
      </c>
      <c r="J30" s="28" t="str">
        <f>_xlfn.XLOOKUP(B30,'CL.SOL5--20251227'!I:I,'CL.SOL5--20251227'!H:H)</f>
        <v>CW-22205-6"-S1P1</v>
      </c>
    </row>
    <row r="31" spans="1:10">
      <c r="A31" t="s">
        <v>410</v>
      </c>
      <c r="B31" t="str">
        <f t="shared" si="0"/>
        <v>CW-22205</v>
      </c>
      <c r="C31" t="str">
        <f t="shared" si="1"/>
        <v>0</v>
      </c>
      <c r="D31">
        <f t="shared" si="2"/>
        <v>2</v>
      </c>
      <c r="E31">
        <f t="shared" si="3"/>
        <v>2</v>
      </c>
      <c r="F31" t="str">
        <f>_xlfn.LET(_xlpm.count, _xlfn.XLOOKUP(B31,'CL.SOL5--20251227'!I:I,'CL.SOL5--20251227'!L:L), IF(_xlpm.count=E31,"-", _xlpm.count))</f>
        <v>-</v>
      </c>
      <c r="G31" t="str">
        <f t="shared" si="4"/>
        <v>CW-22205-S1P1-Rev0-002</v>
      </c>
      <c r="H31" t="str">
        <f>_xlfn.LET(_xlpm.rev, _xlfn.XLOOKUP(B31,'CL.SOL5--20251227'!I:I,'CL.SOL5--20251227'!K:K), IF(_xlpm.rev=C31, "-", _xlpm.rev))</f>
        <v>-</v>
      </c>
      <c r="I31" s="28">
        <v>30</v>
      </c>
      <c r="J31" s="28" t="str">
        <f>_xlfn.XLOOKUP(B31,'CL.SOL5--20251227'!I:I,'CL.SOL5--20251227'!H:H)</f>
        <v>CW-22205-6"-S1P1</v>
      </c>
    </row>
    <row r="32" spans="1:10">
      <c r="A32" t="s">
        <v>411</v>
      </c>
      <c r="B32" t="str">
        <f t="shared" si="0"/>
        <v>CW-22206</v>
      </c>
      <c r="C32" t="str">
        <f t="shared" si="1"/>
        <v>0</v>
      </c>
      <c r="D32">
        <f t="shared" si="2"/>
        <v>1</v>
      </c>
      <c r="E32">
        <f t="shared" si="3"/>
        <v>3</v>
      </c>
      <c r="F32" t="str">
        <f>_xlfn.LET(_xlpm.count, _xlfn.XLOOKUP(B32,'CL.SOL5--20251227'!I:I,'CL.SOL5--20251227'!L:L), IF(_xlpm.count=E32,"-", _xlpm.count))</f>
        <v>-</v>
      </c>
      <c r="G32" t="str">
        <f t="shared" si="4"/>
        <v>CW-22206-S1P1-R-Rev0-001</v>
      </c>
      <c r="H32" t="str">
        <f>_xlfn.LET(_xlpm.rev, _xlfn.XLOOKUP(B32,'CL.SOL5--20251227'!I:I,'CL.SOL5--20251227'!K:K), IF(_xlpm.rev=C32, "-", _xlpm.rev))</f>
        <v>-</v>
      </c>
      <c r="I32" s="28">
        <v>31</v>
      </c>
      <c r="J32" s="28" t="str">
        <f>_xlfn.XLOOKUP(B32,'CL.SOL5--20251227'!I:I,'CL.SOL5--20251227'!H:H)</f>
        <v>CW-22206-6"-S1P1</v>
      </c>
    </row>
    <row r="33" spans="1:10">
      <c r="A33" t="s">
        <v>412</v>
      </c>
      <c r="B33" t="str">
        <f t="shared" si="0"/>
        <v>CW-22206</v>
      </c>
      <c r="C33" t="str">
        <f t="shared" si="1"/>
        <v>0</v>
      </c>
      <c r="D33">
        <f t="shared" si="2"/>
        <v>2</v>
      </c>
      <c r="E33">
        <f t="shared" si="3"/>
        <v>3</v>
      </c>
      <c r="F33" t="str">
        <f>_xlfn.LET(_xlpm.count, _xlfn.XLOOKUP(B33,'CL.SOL5--20251227'!I:I,'CL.SOL5--20251227'!L:L), IF(_xlpm.count=E33,"-", _xlpm.count))</f>
        <v>-</v>
      </c>
      <c r="G33" t="str">
        <f t="shared" si="4"/>
        <v>CW-22206-S1P1-R-Rev0-002</v>
      </c>
      <c r="H33" t="str">
        <f>_xlfn.LET(_xlpm.rev, _xlfn.XLOOKUP(B33,'CL.SOL5--20251227'!I:I,'CL.SOL5--20251227'!K:K), IF(_xlpm.rev=C33, "-", _xlpm.rev))</f>
        <v>-</v>
      </c>
      <c r="I33" s="28">
        <v>32</v>
      </c>
      <c r="J33" s="28" t="str">
        <f>_xlfn.XLOOKUP(B33,'CL.SOL5--20251227'!I:I,'CL.SOL5--20251227'!H:H)</f>
        <v>CW-22206-6"-S1P1</v>
      </c>
    </row>
    <row r="34" spans="1:10">
      <c r="A34" t="s">
        <v>413</v>
      </c>
      <c r="B34" t="str">
        <f t="shared" si="0"/>
        <v>CW-22206</v>
      </c>
      <c r="C34" t="str">
        <f t="shared" si="1"/>
        <v>0</v>
      </c>
      <c r="D34">
        <f t="shared" si="2"/>
        <v>3</v>
      </c>
      <c r="E34">
        <f t="shared" si="3"/>
        <v>3</v>
      </c>
      <c r="F34" t="str">
        <f>_xlfn.LET(_xlpm.count, _xlfn.XLOOKUP(B34,'CL.SOL5--20251227'!I:I,'CL.SOL5--20251227'!L:L), IF(_xlpm.count=E34,"-", _xlpm.count))</f>
        <v>-</v>
      </c>
      <c r="G34" t="str">
        <f t="shared" si="4"/>
        <v>CW-22206-S1P1-R-Rev0-003</v>
      </c>
      <c r="H34" t="str">
        <f>_xlfn.LET(_xlpm.rev, _xlfn.XLOOKUP(B34,'CL.SOL5--20251227'!I:I,'CL.SOL5--20251227'!K:K), IF(_xlpm.rev=C34, "-", _xlpm.rev))</f>
        <v>-</v>
      </c>
      <c r="I34" s="28">
        <v>33</v>
      </c>
      <c r="J34" s="28" t="str">
        <f>_xlfn.XLOOKUP(B34,'CL.SOL5--20251227'!I:I,'CL.SOL5--20251227'!H:H)</f>
        <v>CW-22206-6"-S1P1</v>
      </c>
    </row>
    <row r="35" spans="1:10" hidden="1">
      <c r="A35" t="s">
        <v>414</v>
      </c>
      <c r="B35" t="str">
        <f t="shared" si="0"/>
        <v>CW-22351</v>
      </c>
      <c r="C35" t="str">
        <f t="shared" si="1"/>
        <v>0</v>
      </c>
      <c r="D35">
        <f t="shared" si="2"/>
        <v>1</v>
      </c>
      <c r="E35">
        <f t="shared" si="3"/>
        <v>2</v>
      </c>
      <c r="F35" t="str">
        <f>_xlfn.LET(_xlpm.count, _xlfn.XLOOKUP(B35,'CL.SOL5--20251227'!I:I,'CL.SOL5--20251227'!L:L), IF(_xlpm.count=E35,"-", _xlpm.count))</f>
        <v>-</v>
      </c>
      <c r="G35" t="str">
        <f t="shared" si="4"/>
        <v>CW-22351-S1P1-Rev0-001</v>
      </c>
      <c r="H35" t="str">
        <f>_xlfn.LET(_xlpm.rev, _xlfn.XLOOKUP(B35,'CL.SOL5--20251227'!I:I,'CL.SOL5--20251227'!K:K), IF(_xlpm.rev=C35, "-", _xlpm.rev))</f>
        <v>-</v>
      </c>
      <c r="I35" s="30">
        <v>34</v>
      </c>
      <c r="J35" s="30" t="str">
        <f>_xlfn.XLOOKUP(B35,'CL.SOL5--20251227'!I:I,'CL.SOL5--20251227'!H:H)</f>
        <v>CW-22351-8"-S1P1</v>
      </c>
    </row>
    <row r="36" spans="1:10" hidden="1">
      <c r="A36" t="s">
        <v>415</v>
      </c>
      <c r="B36" t="str">
        <f t="shared" si="0"/>
        <v>CW-22351</v>
      </c>
      <c r="C36" t="str">
        <f t="shared" si="1"/>
        <v>0</v>
      </c>
      <c r="D36">
        <f t="shared" si="2"/>
        <v>2</v>
      </c>
      <c r="E36">
        <f t="shared" si="3"/>
        <v>2</v>
      </c>
      <c r="F36" t="str">
        <f>_xlfn.LET(_xlpm.count, _xlfn.XLOOKUP(B36,'CL.SOL5--20251227'!I:I,'CL.SOL5--20251227'!L:L), IF(_xlpm.count=E36,"-", _xlpm.count))</f>
        <v>-</v>
      </c>
      <c r="G36" t="str">
        <f t="shared" si="4"/>
        <v>CW-22351-S1P1-Rev0-002</v>
      </c>
      <c r="H36" t="str">
        <f>_xlfn.LET(_xlpm.rev, _xlfn.XLOOKUP(B36,'CL.SOL5--20251227'!I:I,'CL.SOL5--20251227'!K:K), IF(_xlpm.rev=C36, "-", _xlpm.rev))</f>
        <v>-</v>
      </c>
      <c r="I36" s="28">
        <v>35</v>
      </c>
      <c r="J36" s="28" t="str">
        <f>_xlfn.XLOOKUP(B36,'CL.SOL5--20251227'!I:I,'CL.SOL5--20251227'!H:H)</f>
        <v>CW-22351-8"-S1P1</v>
      </c>
    </row>
    <row r="37" spans="1:10" hidden="1">
      <c r="A37" t="s">
        <v>416</v>
      </c>
      <c r="B37" t="str">
        <f t="shared" si="0"/>
        <v>CW-22352</v>
      </c>
      <c r="C37" t="str">
        <f t="shared" si="1"/>
        <v>0</v>
      </c>
      <c r="D37">
        <f t="shared" si="2"/>
        <v>1</v>
      </c>
      <c r="E37">
        <f t="shared" si="3"/>
        <v>2</v>
      </c>
      <c r="F37" t="str">
        <f>_xlfn.LET(_xlpm.count, _xlfn.XLOOKUP(B37,'CL.SOL5--20251227'!I:I,'CL.SOL5--20251227'!L:L), IF(_xlpm.count=E37,"-", _xlpm.count))</f>
        <v>-</v>
      </c>
      <c r="G37" t="str">
        <f t="shared" si="4"/>
        <v>CW-22352-S1P1-Rev0-001</v>
      </c>
      <c r="H37" t="str">
        <f>_xlfn.LET(_xlpm.rev, _xlfn.XLOOKUP(B37,'CL.SOL5--20251227'!I:I,'CL.SOL5--20251227'!K:K), IF(_xlpm.rev=C37, "-", _xlpm.rev))</f>
        <v>-</v>
      </c>
      <c r="I37" s="28">
        <v>36</v>
      </c>
      <c r="J37" s="28" t="str">
        <f>_xlfn.XLOOKUP(B37,'CL.SOL5--20251227'!I:I,'CL.SOL5--20251227'!H:H)</f>
        <v>CW-22352-8"-S1P1</v>
      </c>
    </row>
    <row r="38" spans="1:10" hidden="1">
      <c r="A38" t="s">
        <v>417</v>
      </c>
      <c r="B38" t="str">
        <f t="shared" si="0"/>
        <v>CW-22352</v>
      </c>
      <c r="C38" t="str">
        <f t="shared" si="1"/>
        <v>0</v>
      </c>
      <c r="D38">
        <f t="shared" si="2"/>
        <v>2</v>
      </c>
      <c r="E38">
        <f t="shared" si="3"/>
        <v>2</v>
      </c>
      <c r="F38" t="str">
        <f>_xlfn.LET(_xlpm.count, _xlfn.XLOOKUP(B38,'CL.SOL5--20251227'!I:I,'CL.SOL5--20251227'!L:L), IF(_xlpm.count=E38,"-", _xlpm.count))</f>
        <v>-</v>
      </c>
      <c r="G38" t="str">
        <f t="shared" si="4"/>
        <v>CW-22352-S1P1-Rev0-002</v>
      </c>
      <c r="H38" t="str">
        <f>_xlfn.LET(_xlpm.rev, _xlfn.XLOOKUP(B38,'CL.SOL5--20251227'!I:I,'CL.SOL5--20251227'!K:K), IF(_xlpm.rev=C38, "-", _xlpm.rev))</f>
        <v>-</v>
      </c>
      <c r="I38" s="28">
        <v>37</v>
      </c>
      <c r="J38" s="28" t="str">
        <f>_xlfn.XLOOKUP(B38,'CL.SOL5--20251227'!I:I,'CL.SOL5--20251227'!H:H)</f>
        <v>CW-22352-8"-S1P1</v>
      </c>
    </row>
    <row r="39" spans="1:10" hidden="1">
      <c r="A39" t="s">
        <v>418</v>
      </c>
      <c r="B39" t="str">
        <f t="shared" si="0"/>
        <v>FO-903A01</v>
      </c>
      <c r="C39" t="str">
        <f t="shared" si="1"/>
        <v>0</v>
      </c>
      <c r="D39">
        <f t="shared" si="2"/>
        <v>1</v>
      </c>
      <c r="E39">
        <f t="shared" si="3"/>
        <v>5</v>
      </c>
      <c r="F39" t="str">
        <f>_xlfn.LET(_xlpm.count, _xlfn.XLOOKUP(B39,'CL.SOL5--20251227'!I:I,'CL.SOL5--20251227'!L:L), IF(_xlpm.count=E39,"-", _xlpm.count))</f>
        <v>-</v>
      </c>
      <c r="G39" t="str">
        <f t="shared" si="4"/>
        <v>FO-903A01-S1P1F-Rev0-001</v>
      </c>
      <c r="H39" t="str">
        <f>_xlfn.LET(_xlpm.rev, _xlfn.XLOOKUP(B39,'CL.SOL5--20251227'!I:I,'CL.SOL5--20251227'!K:K), IF(_xlpm.rev=C39, "-", _xlpm.rev))</f>
        <v>-</v>
      </c>
      <c r="I39">
        <v>38</v>
      </c>
      <c r="J39" t="str">
        <f>_xlfn.XLOOKUP(B39,'CL.SOL5--20251227'!I:I,'CL.SOL5--20251227'!H:H)</f>
        <v>FO-903A01-2"-S1P1F</v>
      </c>
    </row>
    <row r="40" spans="1:10" hidden="1">
      <c r="A40" t="s">
        <v>419</v>
      </c>
      <c r="B40" t="str">
        <f t="shared" si="0"/>
        <v>FO-903A01</v>
      </c>
      <c r="C40" t="str">
        <f t="shared" si="1"/>
        <v>0</v>
      </c>
      <c r="D40">
        <f t="shared" si="2"/>
        <v>2</v>
      </c>
      <c r="E40">
        <f t="shared" si="3"/>
        <v>5</v>
      </c>
      <c r="F40" t="str">
        <f>_xlfn.LET(_xlpm.count, _xlfn.XLOOKUP(B40,'CL.SOL5--20251227'!I:I,'CL.SOL5--20251227'!L:L), IF(_xlpm.count=E40,"-", _xlpm.count))</f>
        <v>-</v>
      </c>
      <c r="G40" t="str">
        <f t="shared" si="4"/>
        <v>FO-903A01-S1P1F-Rev0-002</v>
      </c>
      <c r="H40" t="str">
        <f>_xlfn.LET(_xlpm.rev, _xlfn.XLOOKUP(B40,'CL.SOL5--20251227'!I:I,'CL.SOL5--20251227'!K:K), IF(_xlpm.rev=C40, "-", _xlpm.rev))</f>
        <v>-</v>
      </c>
      <c r="I40">
        <v>39</v>
      </c>
      <c r="J40" t="str">
        <f>_xlfn.XLOOKUP(B40,'CL.SOL5--20251227'!I:I,'CL.SOL5--20251227'!H:H)</f>
        <v>FO-903A01-2"-S1P1F</v>
      </c>
    </row>
    <row r="41" spans="1:10" hidden="1">
      <c r="A41" t="s">
        <v>420</v>
      </c>
      <c r="B41" t="str">
        <f t="shared" si="0"/>
        <v>FO-903A01</v>
      </c>
      <c r="C41" t="str">
        <f t="shared" si="1"/>
        <v>0</v>
      </c>
      <c r="D41">
        <f t="shared" si="2"/>
        <v>3</v>
      </c>
      <c r="E41">
        <f t="shared" si="3"/>
        <v>5</v>
      </c>
      <c r="F41" t="str">
        <f>_xlfn.LET(_xlpm.count, _xlfn.XLOOKUP(B41,'CL.SOL5--20251227'!I:I,'CL.SOL5--20251227'!L:L), IF(_xlpm.count=E41,"-", _xlpm.count))</f>
        <v>-</v>
      </c>
      <c r="G41" t="str">
        <f t="shared" si="4"/>
        <v>FO-903A01-S1P1F-Rev0-003</v>
      </c>
      <c r="H41" t="str">
        <f>_xlfn.LET(_xlpm.rev, _xlfn.XLOOKUP(B41,'CL.SOL5--20251227'!I:I,'CL.SOL5--20251227'!K:K), IF(_xlpm.rev=C41, "-", _xlpm.rev))</f>
        <v>-</v>
      </c>
      <c r="I41">
        <v>40</v>
      </c>
      <c r="J41" t="str">
        <f>_xlfn.XLOOKUP(B41,'CL.SOL5--20251227'!I:I,'CL.SOL5--20251227'!H:H)</f>
        <v>FO-903A01-2"-S1P1F</v>
      </c>
    </row>
    <row r="42" spans="1:10" hidden="1">
      <c r="A42" t="s">
        <v>421</v>
      </c>
      <c r="B42" t="str">
        <f t="shared" si="0"/>
        <v>FO-903A01</v>
      </c>
      <c r="C42" t="str">
        <f t="shared" si="1"/>
        <v>0</v>
      </c>
      <c r="D42">
        <f t="shared" si="2"/>
        <v>4</v>
      </c>
      <c r="E42">
        <f t="shared" si="3"/>
        <v>5</v>
      </c>
      <c r="F42" t="str">
        <f>_xlfn.LET(_xlpm.count, _xlfn.XLOOKUP(B42,'CL.SOL5--20251227'!I:I,'CL.SOL5--20251227'!L:L), IF(_xlpm.count=E42,"-", _xlpm.count))</f>
        <v>-</v>
      </c>
      <c r="G42" t="str">
        <f t="shared" si="4"/>
        <v>FO-903A01-S1P1F-Rev0-004</v>
      </c>
      <c r="H42" t="str">
        <f>_xlfn.LET(_xlpm.rev, _xlfn.XLOOKUP(B42,'CL.SOL5--20251227'!I:I,'CL.SOL5--20251227'!K:K), IF(_xlpm.rev=C42, "-", _xlpm.rev))</f>
        <v>-</v>
      </c>
      <c r="I42">
        <v>41</v>
      </c>
      <c r="J42" t="str">
        <f>_xlfn.XLOOKUP(B42,'CL.SOL5--20251227'!I:I,'CL.SOL5--20251227'!H:H)</f>
        <v>FO-903A01-2"-S1P1F</v>
      </c>
    </row>
    <row r="43" spans="1:10" hidden="1">
      <c r="A43" t="s">
        <v>422</v>
      </c>
      <c r="B43" t="str">
        <f t="shared" si="0"/>
        <v>FO-903A01</v>
      </c>
      <c r="C43" t="str">
        <f t="shared" si="1"/>
        <v>0</v>
      </c>
      <c r="D43">
        <f t="shared" si="2"/>
        <v>5</v>
      </c>
      <c r="E43">
        <f t="shared" si="3"/>
        <v>5</v>
      </c>
      <c r="F43" t="str">
        <f>_xlfn.LET(_xlpm.count, _xlfn.XLOOKUP(B43,'CL.SOL5--20251227'!I:I,'CL.SOL5--20251227'!L:L), IF(_xlpm.count=E43,"-", _xlpm.count))</f>
        <v>-</v>
      </c>
      <c r="G43" t="str">
        <f t="shared" si="4"/>
        <v>FO-903A01-S1P1F-Rev0-005</v>
      </c>
      <c r="H43" t="str">
        <f>_xlfn.LET(_xlpm.rev, _xlfn.XLOOKUP(B43,'CL.SOL5--20251227'!I:I,'CL.SOL5--20251227'!K:K), IF(_xlpm.rev=C43, "-", _xlpm.rev))</f>
        <v>-</v>
      </c>
      <c r="I43">
        <v>42</v>
      </c>
      <c r="J43" t="str">
        <f>_xlfn.XLOOKUP(B43,'CL.SOL5--20251227'!I:I,'CL.SOL5--20251227'!H:H)</f>
        <v>FO-903A01-2"-S1P1F</v>
      </c>
    </row>
    <row r="44" spans="1:10" hidden="1">
      <c r="A44" t="s">
        <v>423</v>
      </c>
      <c r="B44" t="str">
        <f t="shared" si="0"/>
        <v>FO-903A02</v>
      </c>
      <c r="C44" t="str">
        <f t="shared" si="1"/>
        <v>0</v>
      </c>
      <c r="D44">
        <f t="shared" si="2"/>
        <v>1</v>
      </c>
      <c r="E44">
        <f t="shared" si="3"/>
        <v>5</v>
      </c>
      <c r="F44" t="str">
        <f>_xlfn.LET(_xlpm.count, _xlfn.XLOOKUP(B44,'CL.SOL5--20251227'!I:I,'CL.SOL5--20251227'!L:L), IF(_xlpm.count=E44,"-", _xlpm.count))</f>
        <v>-</v>
      </c>
      <c r="G44" t="str">
        <f t="shared" si="4"/>
        <v>FO-903A02-S1P1F-Rev0-001</v>
      </c>
      <c r="H44" t="str">
        <f>_xlfn.LET(_xlpm.rev, _xlfn.XLOOKUP(B44,'CL.SOL5--20251227'!I:I,'CL.SOL5--20251227'!K:K), IF(_xlpm.rev=C44, "-", _xlpm.rev))</f>
        <v>-</v>
      </c>
      <c r="I44">
        <v>43</v>
      </c>
      <c r="J44" t="str">
        <f>_xlfn.XLOOKUP(B44,'CL.SOL5--20251227'!I:I,'CL.SOL5--20251227'!H:H)</f>
        <v>FO-903A02-1/2"-S1P1F</v>
      </c>
    </row>
    <row r="45" spans="1:10" hidden="1">
      <c r="A45" t="s">
        <v>424</v>
      </c>
      <c r="B45" t="str">
        <f t="shared" si="0"/>
        <v>FO-903A02</v>
      </c>
      <c r="C45" t="str">
        <f t="shared" si="1"/>
        <v>0</v>
      </c>
      <c r="D45">
        <f t="shared" si="2"/>
        <v>2</v>
      </c>
      <c r="E45">
        <f t="shared" si="3"/>
        <v>5</v>
      </c>
      <c r="F45" t="str">
        <f>_xlfn.LET(_xlpm.count, _xlfn.XLOOKUP(B45,'CL.SOL5--20251227'!I:I,'CL.SOL5--20251227'!L:L), IF(_xlpm.count=E45,"-", _xlpm.count))</f>
        <v>-</v>
      </c>
      <c r="G45" t="str">
        <f t="shared" si="4"/>
        <v>FO-903A02-S1P1F-Rev0-002</v>
      </c>
      <c r="H45" t="str">
        <f>_xlfn.LET(_xlpm.rev, _xlfn.XLOOKUP(B45,'CL.SOL5--20251227'!I:I,'CL.SOL5--20251227'!K:K), IF(_xlpm.rev=C45, "-", _xlpm.rev))</f>
        <v>-</v>
      </c>
      <c r="I45">
        <v>44</v>
      </c>
      <c r="J45" t="str">
        <f>_xlfn.XLOOKUP(B45,'CL.SOL5--20251227'!I:I,'CL.SOL5--20251227'!H:H)</f>
        <v>FO-903A02-1/2"-S1P1F</v>
      </c>
    </row>
    <row r="46" spans="1:10" hidden="1">
      <c r="A46" t="s">
        <v>425</v>
      </c>
      <c r="B46" t="str">
        <f t="shared" si="0"/>
        <v>FO-903A02</v>
      </c>
      <c r="C46" t="str">
        <f t="shared" si="1"/>
        <v>0</v>
      </c>
      <c r="D46">
        <f t="shared" si="2"/>
        <v>3</v>
      </c>
      <c r="E46">
        <f t="shared" si="3"/>
        <v>5</v>
      </c>
      <c r="F46" t="str">
        <f>_xlfn.LET(_xlpm.count, _xlfn.XLOOKUP(B46,'CL.SOL5--20251227'!I:I,'CL.SOL5--20251227'!L:L), IF(_xlpm.count=E46,"-", _xlpm.count))</f>
        <v>-</v>
      </c>
      <c r="G46" t="str">
        <f t="shared" si="4"/>
        <v>FO-903A02-S1P1F-Rev0-003</v>
      </c>
      <c r="H46" t="str">
        <f>_xlfn.LET(_xlpm.rev, _xlfn.XLOOKUP(B46,'CL.SOL5--20251227'!I:I,'CL.SOL5--20251227'!K:K), IF(_xlpm.rev=C46, "-", _xlpm.rev))</f>
        <v>-</v>
      </c>
      <c r="I46">
        <v>45</v>
      </c>
      <c r="J46" t="str">
        <f>_xlfn.XLOOKUP(B46,'CL.SOL5--20251227'!I:I,'CL.SOL5--20251227'!H:H)</f>
        <v>FO-903A02-1/2"-S1P1F</v>
      </c>
    </row>
    <row r="47" spans="1:10" hidden="1">
      <c r="A47" t="s">
        <v>426</v>
      </c>
      <c r="B47" t="str">
        <f t="shared" si="0"/>
        <v>FO-903A02</v>
      </c>
      <c r="C47" t="str">
        <f t="shared" si="1"/>
        <v>0</v>
      </c>
      <c r="D47">
        <f t="shared" si="2"/>
        <v>4</v>
      </c>
      <c r="E47">
        <f t="shared" si="3"/>
        <v>5</v>
      </c>
      <c r="F47" t="str">
        <f>_xlfn.LET(_xlpm.count, _xlfn.XLOOKUP(B47,'CL.SOL5--20251227'!I:I,'CL.SOL5--20251227'!L:L), IF(_xlpm.count=E47,"-", _xlpm.count))</f>
        <v>-</v>
      </c>
      <c r="G47" t="str">
        <f t="shared" si="4"/>
        <v>FO-903A02-S1P1F-Rev0-004</v>
      </c>
      <c r="H47" t="str">
        <f>_xlfn.LET(_xlpm.rev, _xlfn.XLOOKUP(B47,'CL.SOL5--20251227'!I:I,'CL.SOL5--20251227'!K:K), IF(_xlpm.rev=C47, "-", _xlpm.rev))</f>
        <v>-</v>
      </c>
      <c r="I47">
        <v>46</v>
      </c>
      <c r="J47" t="str">
        <f>_xlfn.XLOOKUP(B47,'CL.SOL5--20251227'!I:I,'CL.SOL5--20251227'!H:H)</f>
        <v>FO-903A02-1/2"-S1P1F</v>
      </c>
    </row>
    <row r="48" spans="1:10" hidden="1">
      <c r="A48" t="s">
        <v>427</v>
      </c>
      <c r="B48" t="str">
        <f t="shared" si="0"/>
        <v>FO-903A02</v>
      </c>
      <c r="C48" t="str">
        <f t="shared" si="1"/>
        <v>0</v>
      </c>
      <c r="D48">
        <f t="shared" si="2"/>
        <v>5</v>
      </c>
      <c r="E48">
        <f t="shared" si="3"/>
        <v>5</v>
      </c>
      <c r="F48" t="str">
        <f>_xlfn.LET(_xlpm.count, _xlfn.XLOOKUP(B48,'CL.SOL5--20251227'!I:I,'CL.SOL5--20251227'!L:L), IF(_xlpm.count=E48,"-", _xlpm.count))</f>
        <v>-</v>
      </c>
      <c r="G48" t="str">
        <f t="shared" si="4"/>
        <v>FO-903A02-S1P1F-Rev0-005</v>
      </c>
      <c r="H48" t="str">
        <f>_xlfn.LET(_xlpm.rev, _xlfn.XLOOKUP(B48,'CL.SOL5--20251227'!I:I,'CL.SOL5--20251227'!K:K), IF(_xlpm.rev=C48, "-", _xlpm.rev))</f>
        <v>-</v>
      </c>
      <c r="I48">
        <v>47</v>
      </c>
      <c r="J48" t="str">
        <f>_xlfn.XLOOKUP(B48,'CL.SOL5--20251227'!I:I,'CL.SOL5--20251227'!H:H)</f>
        <v>FO-903A02-1/2"-S1P1F</v>
      </c>
    </row>
    <row r="49" spans="1:10" hidden="1">
      <c r="A49" t="s">
        <v>428</v>
      </c>
      <c r="B49" t="str">
        <f t="shared" si="0"/>
        <v>FO-903A03</v>
      </c>
      <c r="C49" t="str">
        <f t="shared" si="1"/>
        <v>0</v>
      </c>
      <c r="D49">
        <f t="shared" si="2"/>
        <v>1</v>
      </c>
      <c r="E49">
        <f t="shared" si="3"/>
        <v>1</v>
      </c>
      <c r="F49" t="str">
        <f>_xlfn.LET(_xlpm.count, _xlfn.XLOOKUP(B49,'CL.SOL5--20251227'!I:I,'CL.SOL5--20251227'!L:L), IF(_xlpm.count=E49,"-", _xlpm.count))</f>
        <v>-</v>
      </c>
      <c r="G49" t="str">
        <f t="shared" si="4"/>
        <v>FO-903A03-S1P1F-Rev0-001</v>
      </c>
      <c r="H49" t="str">
        <f>_xlfn.LET(_xlpm.rev, _xlfn.XLOOKUP(B49,'CL.SOL5--20251227'!I:I,'CL.SOL5--20251227'!K:K), IF(_xlpm.rev=C49, "-", _xlpm.rev))</f>
        <v>-</v>
      </c>
      <c r="I49">
        <v>48</v>
      </c>
      <c r="J49" t="str">
        <f>_xlfn.XLOOKUP(B49,'CL.SOL5--20251227'!I:I,'CL.SOL5--20251227'!H:H)</f>
        <v>FO-903A03-1.1/2"-S1P1F</v>
      </c>
    </row>
    <row r="50" spans="1:10" hidden="1">
      <c r="A50" t="s">
        <v>429</v>
      </c>
      <c r="B50" t="str">
        <f t="shared" si="0"/>
        <v>FO-903A04</v>
      </c>
      <c r="C50" t="str">
        <f t="shared" si="1"/>
        <v>0</v>
      </c>
      <c r="D50">
        <f t="shared" si="2"/>
        <v>1</v>
      </c>
      <c r="E50">
        <f t="shared" si="3"/>
        <v>1</v>
      </c>
      <c r="F50" t="str">
        <f>_xlfn.LET(_xlpm.count, _xlfn.XLOOKUP(B50,'CL.SOL5--20251227'!I:I,'CL.SOL5--20251227'!L:L), IF(_xlpm.count=E50,"-", _xlpm.count))</f>
        <v>-</v>
      </c>
      <c r="G50" t="str">
        <f t="shared" si="4"/>
        <v>FO-903A04-S1P1F-Rev0-001</v>
      </c>
      <c r="H50" t="str">
        <f>_xlfn.LET(_xlpm.rev, _xlfn.XLOOKUP(B50,'CL.SOL5--20251227'!I:I,'CL.SOL5--20251227'!K:K), IF(_xlpm.rev=C50, "-", _xlpm.rev))</f>
        <v>-</v>
      </c>
      <c r="I50">
        <v>49</v>
      </c>
      <c r="J50" t="str">
        <f>_xlfn.XLOOKUP(B50,'CL.SOL5--20251227'!I:I,'CL.SOL5--20251227'!H:H)</f>
        <v>FO-903A04-2"-S1P1F</v>
      </c>
    </row>
    <row r="51" spans="1:10" hidden="1">
      <c r="A51" t="s">
        <v>430</v>
      </c>
      <c r="B51" t="str">
        <f t="shared" si="0"/>
        <v>FO-903A05</v>
      </c>
      <c r="C51" t="str">
        <f t="shared" si="1"/>
        <v>0</v>
      </c>
      <c r="D51">
        <f t="shared" si="2"/>
        <v>1</v>
      </c>
      <c r="E51">
        <f t="shared" si="3"/>
        <v>1</v>
      </c>
      <c r="F51" t="str">
        <f>_xlfn.LET(_xlpm.count, _xlfn.XLOOKUP(B51,'CL.SOL5--20251227'!I:I,'CL.SOL5--20251227'!L:L), IF(_xlpm.count=E51,"-", _xlpm.count))</f>
        <v>-</v>
      </c>
      <c r="G51" t="str">
        <f t="shared" si="4"/>
        <v>FO-903A05-S1P1F-Rev0-001</v>
      </c>
      <c r="H51" t="str">
        <f>_xlfn.LET(_xlpm.rev, _xlfn.XLOOKUP(B51,'CL.SOL5--20251227'!I:I,'CL.SOL5--20251227'!K:K), IF(_xlpm.rev=C51, "-", _xlpm.rev))</f>
        <v>-</v>
      </c>
      <c r="I51">
        <v>50</v>
      </c>
      <c r="J51" t="str">
        <f>_xlfn.XLOOKUP(B51,'CL.SOL5--20251227'!I:I,'CL.SOL5--20251227'!H:H)</f>
        <v>FO-903A05-1"-S1P1F</v>
      </c>
    </row>
    <row r="52" spans="1:10" hidden="1">
      <c r="A52" t="s">
        <v>431</v>
      </c>
      <c r="B52" t="str">
        <f t="shared" si="0"/>
        <v>FO-903A06</v>
      </c>
      <c r="C52" t="str">
        <f t="shared" si="1"/>
        <v>0</v>
      </c>
      <c r="D52">
        <f t="shared" si="2"/>
        <v>1</v>
      </c>
      <c r="E52">
        <f t="shared" si="3"/>
        <v>1</v>
      </c>
      <c r="F52" t="str">
        <f>_xlfn.LET(_xlpm.count, _xlfn.XLOOKUP(B52,'CL.SOL5--20251227'!I:I,'CL.SOL5--20251227'!L:L), IF(_xlpm.count=E52,"-", _xlpm.count))</f>
        <v>-</v>
      </c>
      <c r="G52" t="str">
        <f t="shared" si="4"/>
        <v>FO-903A06-S1P1F-Rev0-001</v>
      </c>
      <c r="H52" t="str">
        <f>_xlfn.LET(_xlpm.rev, _xlfn.XLOOKUP(B52,'CL.SOL5--20251227'!I:I,'CL.SOL5--20251227'!K:K), IF(_xlpm.rev=C52, "-", _xlpm.rev))</f>
        <v>-</v>
      </c>
      <c r="I52">
        <v>51</v>
      </c>
      <c r="J52" t="str">
        <f>_xlfn.XLOOKUP(B52,'CL.SOL5--20251227'!I:I,'CL.SOL5--20251227'!H:H)</f>
        <v>FO-903A06-1/2"-S1P1F</v>
      </c>
    </row>
    <row r="53" spans="1:10" hidden="1">
      <c r="A53" t="s">
        <v>432</v>
      </c>
      <c r="B53" t="str">
        <f t="shared" si="0"/>
        <v>FO-903A07</v>
      </c>
      <c r="C53" t="str">
        <f t="shared" si="1"/>
        <v>0</v>
      </c>
      <c r="D53">
        <f t="shared" si="2"/>
        <v>1</v>
      </c>
      <c r="E53">
        <f t="shared" si="3"/>
        <v>1</v>
      </c>
      <c r="F53" t="str">
        <f>_xlfn.LET(_xlpm.count, _xlfn.XLOOKUP(B53,'CL.SOL5--20251227'!I:I,'CL.SOL5--20251227'!L:L), IF(_xlpm.count=E53,"-", _xlpm.count))</f>
        <v>-</v>
      </c>
      <c r="G53" t="str">
        <f t="shared" si="4"/>
        <v>FO-903A07-S1P1F-Rev0-001</v>
      </c>
      <c r="H53" t="str">
        <f>_xlfn.LET(_xlpm.rev, _xlfn.XLOOKUP(B53,'CL.SOL5--20251227'!I:I,'CL.SOL5--20251227'!K:K), IF(_xlpm.rev=C53, "-", _xlpm.rev))</f>
        <v>-</v>
      </c>
      <c r="I53">
        <v>52</v>
      </c>
      <c r="J53" t="str">
        <f>_xlfn.XLOOKUP(B53,'CL.SOL5--20251227'!I:I,'CL.SOL5--20251227'!H:H)</f>
        <v>FO-903A07-1/2"-S1P1F</v>
      </c>
    </row>
    <row r="54" spans="1:10" hidden="1">
      <c r="A54" t="s">
        <v>433</v>
      </c>
      <c r="B54" t="str">
        <f t="shared" si="0"/>
        <v>FO-903A08</v>
      </c>
      <c r="C54" t="str">
        <f t="shared" si="1"/>
        <v>0</v>
      </c>
      <c r="D54">
        <f t="shared" si="2"/>
        <v>1</v>
      </c>
      <c r="E54">
        <f t="shared" si="3"/>
        <v>1</v>
      </c>
      <c r="F54" t="str">
        <f>_xlfn.LET(_xlpm.count, _xlfn.XLOOKUP(B54,'CL.SOL5--20251227'!I:I,'CL.SOL5--20251227'!L:L), IF(_xlpm.count=E54,"-", _xlpm.count))</f>
        <v>-</v>
      </c>
      <c r="G54" t="str">
        <f t="shared" si="4"/>
        <v>FO-903A08-S1P1F-Rev0-001</v>
      </c>
      <c r="H54" t="str">
        <f>_xlfn.LET(_xlpm.rev, _xlfn.XLOOKUP(B54,'CL.SOL5--20251227'!I:I,'CL.SOL5--20251227'!K:K), IF(_xlpm.rev=C54, "-", _xlpm.rev))</f>
        <v>-</v>
      </c>
      <c r="I54">
        <v>53</v>
      </c>
      <c r="J54" t="str">
        <f>_xlfn.XLOOKUP(B54,'CL.SOL5--20251227'!I:I,'CL.SOL5--20251227'!H:H)</f>
        <v>FO-903A08-1"-S1P1F</v>
      </c>
    </row>
    <row r="55" spans="1:10" hidden="1">
      <c r="A55" t="s">
        <v>434</v>
      </c>
      <c r="B55" t="str">
        <f t="shared" si="0"/>
        <v>HS-22101</v>
      </c>
      <c r="C55" t="str">
        <f t="shared" si="1"/>
        <v>0</v>
      </c>
      <c r="D55">
        <f t="shared" si="2"/>
        <v>1</v>
      </c>
      <c r="E55">
        <f t="shared" si="3"/>
        <v>1</v>
      </c>
      <c r="F55" t="str">
        <f>_xlfn.LET(_xlpm.count, _xlfn.XLOOKUP(B55,'CL.SOL5--20251227'!I:I,'CL.SOL5--20251227'!L:L), IF(_xlpm.count=E55,"-", _xlpm.count))</f>
        <v>-</v>
      </c>
      <c r="G55" t="str">
        <f t="shared" si="4"/>
        <v>HS-22101-C3S1-Rev0-001</v>
      </c>
      <c r="H55" t="str">
        <f>_xlfn.LET(_xlpm.rev, _xlfn.XLOOKUP(B55,'CL.SOL5--20251227'!I:I,'CL.SOL5--20251227'!K:K), IF(_xlpm.rev=C55, "-", _xlpm.rev))</f>
        <v>-</v>
      </c>
      <c r="I55">
        <v>54</v>
      </c>
      <c r="J55" t="str">
        <f>_xlfn.XLOOKUP(B55,'CL.SOL5--20251227'!I:I,'CL.SOL5--20251227'!H:H)</f>
        <v>HS-22101-1"-C3S1-HC2</v>
      </c>
    </row>
    <row r="56" spans="1:10" hidden="1">
      <c r="A56" t="s">
        <v>435</v>
      </c>
      <c r="B56" t="str">
        <f t="shared" si="0"/>
        <v>HS-22201</v>
      </c>
      <c r="C56" t="str">
        <f t="shared" si="1"/>
        <v>0</v>
      </c>
      <c r="D56">
        <f t="shared" si="2"/>
        <v>1</v>
      </c>
      <c r="E56">
        <f t="shared" si="3"/>
        <v>1</v>
      </c>
      <c r="F56" t="str">
        <f>_xlfn.LET(_xlpm.count, _xlfn.XLOOKUP(B56,'CL.SOL5--20251227'!I:I,'CL.SOL5--20251227'!L:L), IF(_xlpm.count=E56,"-", _xlpm.count))</f>
        <v>-</v>
      </c>
      <c r="G56" t="str">
        <f t="shared" si="4"/>
        <v>HS-22201-C3S1-Rev0-001</v>
      </c>
      <c r="H56" t="str">
        <f>_xlfn.LET(_xlpm.rev, _xlfn.XLOOKUP(B56,'CL.SOL5--20251227'!I:I,'CL.SOL5--20251227'!K:K), IF(_xlpm.rev=C56, "-", _xlpm.rev))</f>
        <v>-</v>
      </c>
      <c r="I56">
        <v>55</v>
      </c>
      <c r="J56" t="str">
        <f>_xlfn.XLOOKUP(B56,'CL.SOL5--20251227'!I:I,'CL.SOL5--20251227'!H:H)</f>
        <v>HS-22201-2"-C3S1-HC2</v>
      </c>
    </row>
    <row r="57" spans="1:10" hidden="1">
      <c r="A57" t="s">
        <v>436</v>
      </c>
      <c r="B57" t="str">
        <f t="shared" si="0"/>
        <v>HS-22341</v>
      </c>
      <c r="C57" t="str">
        <f t="shared" si="1"/>
        <v>0</v>
      </c>
      <c r="D57">
        <f t="shared" si="2"/>
        <v>1</v>
      </c>
      <c r="E57">
        <f t="shared" si="3"/>
        <v>3</v>
      </c>
      <c r="F57" t="str">
        <f>_xlfn.LET(_xlpm.count, _xlfn.XLOOKUP(B57,'CL.SOL5--20251227'!I:I,'CL.SOL5--20251227'!L:L), IF(_xlpm.count=E57,"-", _xlpm.count))</f>
        <v>-</v>
      </c>
      <c r="G57" t="str">
        <f t="shared" si="4"/>
        <v>HS-22341-C3S1-Rev0-001</v>
      </c>
      <c r="H57" t="str">
        <f>_xlfn.LET(_xlpm.rev, _xlfn.XLOOKUP(B57,'CL.SOL5--20251227'!I:I,'CL.SOL5--20251227'!K:K), IF(_xlpm.rev=C57, "-", _xlpm.rev))</f>
        <v>-</v>
      </c>
      <c r="I57">
        <v>56</v>
      </c>
      <c r="J57" t="str">
        <f>_xlfn.XLOOKUP(B57,'CL.SOL5--20251227'!I:I,'CL.SOL5--20251227'!H:H)</f>
        <v>HS-22341-4"-C3S1-HC2</v>
      </c>
    </row>
    <row r="58" spans="1:10" hidden="1">
      <c r="A58" t="s">
        <v>437</v>
      </c>
      <c r="B58" t="str">
        <f t="shared" si="0"/>
        <v>HS-22341</v>
      </c>
      <c r="C58" t="str">
        <f t="shared" si="1"/>
        <v>0</v>
      </c>
      <c r="D58">
        <f t="shared" si="2"/>
        <v>2</v>
      </c>
      <c r="E58">
        <f t="shared" si="3"/>
        <v>3</v>
      </c>
      <c r="F58" t="str">
        <f>_xlfn.LET(_xlpm.count, _xlfn.XLOOKUP(B58,'CL.SOL5--20251227'!I:I,'CL.SOL5--20251227'!L:L), IF(_xlpm.count=E58,"-", _xlpm.count))</f>
        <v>-</v>
      </c>
      <c r="G58" t="str">
        <f t="shared" si="4"/>
        <v>HS-22341-C3S1-Rev0-002</v>
      </c>
      <c r="H58" t="str">
        <f>_xlfn.LET(_xlpm.rev, _xlfn.XLOOKUP(B58,'CL.SOL5--20251227'!I:I,'CL.SOL5--20251227'!K:K), IF(_xlpm.rev=C58, "-", _xlpm.rev))</f>
        <v>-</v>
      </c>
      <c r="I58">
        <v>57</v>
      </c>
      <c r="J58" t="str">
        <f>_xlfn.XLOOKUP(B58,'CL.SOL5--20251227'!I:I,'CL.SOL5--20251227'!H:H)</f>
        <v>HS-22341-4"-C3S1-HC2</v>
      </c>
    </row>
    <row r="59" spans="1:10" hidden="1">
      <c r="A59" t="s">
        <v>438</v>
      </c>
      <c r="B59" t="str">
        <f t="shared" si="0"/>
        <v>HS-22341</v>
      </c>
      <c r="C59" t="str">
        <f t="shared" si="1"/>
        <v>0</v>
      </c>
      <c r="D59">
        <f t="shared" si="2"/>
        <v>3</v>
      </c>
      <c r="E59">
        <f t="shared" si="3"/>
        <v>3</v>
      </c>
      <c r="F59" t="str">
        <f>_xlfn.LET(_xlpm.count, _xlfn.XLOOKUP(B59,'CL.SOL5--20251227'!I:I,'CL.SOL5--20251227'!L:L), IF(_xlpm.count=E59,"-", _xlpm.count))</f>
        <v>-</v>
      </c>
      <c r="G59" t="str">
        <f t="shared" si="4"/>
        <v>HS-22341-C3S1-Rev0-003</v>
      </c>
      <c r="H59" t="str">
        <f>_xlfn.LET(_xlpm.rev, _xlfn.XLOOKUP(B59,'CL.SOL5--20251227'!I:I,'CL.SOL5--20251227'!K:K), IF(_xlpm.rev=C59, "-", _xlpm.rev))</f>
        <v>-</v>
      </c>
      <c r="I59">
        <v>58</v>
      </c>
      <c r="J59" t="str">
        <f>_xlfn.XLOOKUP(B59,'CL.SOL5--20251227'!I:I,'CL.SOL5--20251227'!H:H)</f>
        <v>HS-22341-4"-C3S1-HC2</v>
      </c>
    </row>
    <row r="60" spans="1:10" hidden="1">
      <c r="A60" t="s">
        <v>439</v>
      </c>
      <c r="B60" t="str">
        <f t="shared" si="0"/>
        <v>IA-22361</v>
      </c>
      <c r="C60" t="str">
        <f t="shared" si="1"/>
        <v>0</v>
      </c>
      <c r="D60">
        <f t="shared" si="2"/>
        <v>1</v>
      </c>
      <c r="E60">
        <f t="shared" si="3"/>
        <v>3</v>
      </c>
      <c r="F60" t="str">
        <f>_xlfn.LET(_xlpm.count, _xlfn.XLOOKUP(B60,'CL.SOL5--20251227'!I:I,'CL.SOL5--20251227'!L:L), IF(_xlpm.count=E60,"-", _xlpm.count))</f>
        <v>-</v>
      </c>
      <c r="G60" t="str">
        <f t="shared" si="4"/>
        <v>IA-22361-S1P4-Rev0-001</v>
      </c>
      <c r="H60" t="str">
        <f>_xlfn.LET(_xlpm.rev, _xlfn.XLOOKUP(B60,'CL.SOL5--20251227'!I:I,'CL.SOL5--20251227'!K:K), IF(_xlpm.rev=C60, "-", _xlpm.rev))</f>
        <v>-</v>
      </c>
      <c r="I60">
        <v>59</v>
      </c>
      <c r="J60" t="str">
        <f>_xlfn.XLOOKUP(B60,'CL.SOL5--20251227'!I:I,'CL.SOL5--20251227'!H:H)</f>
        <v>IA-22361-1.1/2"-S1P4</v>
      </c>
    </row>
    <row r="61" spans="1:10" hidden="1">
      <c r="A61" t="s">
        <v>440</v>
      </c>
      <c r="B61" t="str">
        <f t="shared" si="0"/>
        <v>IA-22361</v>
      </c>
      <c r="C61" t="str">
        <f t="shared" si="1"/>
        <v>0</v>
      </c>
      <c r="D61">
        <f t="shared" si="2"/>
        <v>2</v>
      </c>
      <c r="E61">
        <f t="shared" si="3"/>
        <v>3</v>
      </c>
      <c r="F61" t="str">
        <f>_xlfn.LET(_xlpm.count, _xlfn.XLOOKUP(B61,'CL.SOL5--20251227'!I:I,'CL.SOL5--20251227'!L:L), IF(_xlpm.count=E61,"-", _xlpm.count))</f>
        <v>-</v>
      </c>
      <c r="G61" t="str">
        <f t="shared" si="4"/>
        <v>IA-22361-S1P4-Rev0-002</v>
      </c>
      <c r="H61" t="str">
        <f>_xlfn.LET(_xlpm.rev, _xlfn.XLOOKUP(B61,'CL.SOL5--20251227'!I:I,'CL.SOL5--20251227'!K:K), IF(_xlpm.rev=C61, "-", _xlpm.rev))</f>
        <v>-</v>
      </c>
      <c r="I61">
        <v>60</v>
      </c>
      <c r="J61" t="str">
        <f>_xlfn.XLOOKUP(B61,'CL.SOL5--20251227'!I:I,'CL.SOL5--20251227'!H:H)</f>
        <v>IA-22361-1.1/2"-S1P4</v>
      </c>
    </row>
    <row r="62" spans="1:10" hidden="1">
      <c r="A62" t="s">
        <v>441</v>
      </c>
      <c r="B62" t="str">
        <f t="shared" si="0"/>
        <v>IA-22361</v>
      </c>
      <c r="C62" t="str">
        <f t="shared" si="1"/>
        <v>0</v>
      </c>
      <c r="D62">
        <f t="shared" si="2"/>
        <v>3</v>
      </c>
      <c r="E62">
        <f t="shared" si="3"/>
        <v>3</v>
      </c>
      <c r="F62" t="str">
        <f>_xlfn.LET(_xlpm.count, _xlfn.XLOOKUP(B62,'CL.SOL5--20251227'!I:I,'CL.SOL5--20251227'!L:L), IF(_xlpm.count=E62,"-", _xlpm.count))</f>
        <v>-</v>
      </c>
      <c r="G62" t="str">
        <f t="shared" si="4"/>
        <v>IA-22361-S1P4-Rev0-003</v>
      </c>
      <c r="H62" t="str">
        <f>_xlfn.LET(_xlpm.rev, _xlfn.XLOOKUP(B62,'CL.SOL5--20251227'!I:I,'CL.SOL5--20251227'!K:K), IF(_xlpm.rev=C62, "-", _xlpm.rev))</f>
        <v>-</v>
      </c>
      <c r="I62">
        <v>61</v>
      </c>
      <c r="J62" t="str">
        <f>_xlfn.XLOOKUP(B62,'CL.SOL5--20251227'!I:I,'CL.SOL5--20251227'!H:H)</f>
        <v>IA-22361-1.1/2"-S1P4</v>
      </c>
    </row>
    <row r="63" spans="1:10">
      <c r="A63" t="s">
        <v>442</v>
      </c>
      <c r="B63" t="str">
        <f t="shared" si="0"/>
        <v>ICW-22101</v>
      </c>
      <c r="C63" t="str">
        <f t="shared" si="1"/>
        <v>0</v>
      </c>
      <c r="D63">
        <f t="shared" si="2"/>
        <v>1</v>
      </c>
      <c r="E63">
        <f t="shared" si="3"/>
        <v>2</v>
      </c>
      <c r="F63" t="str">
        <f>_xlfn.LET(_xlpm.count, _xlfn.XLOOKUP(B63,'CL.SOL5--20251227'!I:I,'CL.SOL5--20251227'!L:L), IF(_xlpm.count=E63,"-", _xlpm.count))</f>
        <v>-</v>
      </c>
      <c r="G63" t="str">
        <f t="shared" si="4"/>
        <v>ICW-22101-S1P1-Rev0-001</v>
      </c>
      <c r="H63" t="str">
        <f>_xlfn.LET(_xlpm.rev, _xlfn.XLOOKUP(B63,'CL.SOL5--20251227'!I:I,'CL.SOL5--20251227'!K:K), IF(_xlpm.rev=C63, "-", _xlpm.rev))</f>
        <v>-</v>
      </c>
      <c r="I63" s="28">
        <v>62</v>
      </c>
      <c r="J63" s="28" t="str">
        <f>_xlfn.XLOOKUP(B63,'CL.SOL5--20251227'!I:I,'CL.SOL5--20251227'!H:H)</f>
        <v>ICW-22101-2"-S1P1-C40</v>
      </c>
    </row>
    <row r="64" spans="1:10">
      <c r="A64" t="s">
        <v>443</v>
      </c>
      <c r="B64" t="str">
        <f t="shared" si="0"/>
        <v>ICW-22101</v>
      </c>
      <c r="C64" t="str">
        <f t="shared" si="1"/>
        <v>0</v>
      </c>
      <c r="D64">
        <f t="shared" si="2"/>
        <v>2</v>
      </c>
      <c r="E64">
        <f t="shared" si="3"/>
        <v>2</v>
      </c>
      <c r="F64" t="str">
        <f>_xlfn.LET(_xlpm.count, _xlfn.XLOOKUP(B64,'CL.SOL5--20251227'!I:I,'CL.SOL5--20251227'!L:L), IF(_xlpm.count=E64,"-", _xlpm.count))</f>
        <v>-</v>
      </c>
      <c r="G64" t="str">
        <f t="shared" si="4"/>
        <v>ICW-22101-S1P1-Rev0-002</v>
      </c>
      <c r="H64" t="str">
        <f>_xlfn.LET(_xlpm.rev, _xlfn.XLOOKUP(B64,'CL.SOL5--20251227'!I:I,'CL.SOL5--20251227'!K:K), IF(_xlpm.rev=C64, "-", _xlpm.rev))</f>
        <v>-</v>
      </c>
      <c r="I64" s="28">
        <v>63</v>
      </c>
      <c r="J64" s="28" t="str">
        <f>_xlfn.XLOOKUP(B64,'CL.SOL5--20251227'!I:I,'CL.SOL5--20251227'!H:H)</f>
        <v>ICW-22101-2"-S1P1-C40</v>
      </c>
    </row>
    <row r="65" spans="1:10">
      <c r="A65" t="s">
        <v>444</v>
      </c>
      <c r="B65" t="str">
        <f t="shared" si="0"/>
        <v>ICW-22102</v>
      </c>
      <c r="C65" t="str">
        <f t="shared" si="1"/>
        <v>0</v>
      </c>
      <c r="D65">
        <f t="shared" si="2"/>
        <v>1</v>
      </c>
      <c r="E65">
        <f t="shared" si="3"/>
        <v>3</v>
      </c>
      <c r="F65" t="str">
        <f>_xlfn.LET(_xlpm.count, _xlfn.XLOOKUP(B65,'CL.SOL5--20251227'!I:I,'CL.SOL5--20251227'!L:L), IF(_xlpm.count=E65,"-", _xlpm.count))</f>
        <v>-</v>
      </c>
      <c r="G65" t="str">
        <f t="shared" si="4"/>
        <v>ICW-22102-S1P1-Rev0-001</v>
      </c>
      <c r="H65" t="str">
        <f>_xlfn.LET(_xlpm.rev, _xlfn.XLOOKUP(B65,'CL.SOL5--20251227'!I:I,'CL.SOL5--20251227'!K:K), IF(_xlpm.rev=C65, "-", _xlpm.rev))</f>
        <v>-</v>
      </c>
      <c r="I65" s="28">
        <v>64</v>
      </c>
      <c r="J65" s="28" t="str">
        <f>_xlfn.XLOOKUP(B65,'CL.SOL5--20251227'!I:I,'CL.SOL5--20251227'!H:H)</f>
        <v>ICW-22102-2"-S1P1-C40</v>
      </c>
    </row>
    <row r="66" spans="1:10">
      <c r="A66" t="s">
        <v>445</v>
      </c>
      <c r="B66" t="str">
        <f t="shared" si="0"/>
        <v>ICW-22102</v>
      </c>
      <c r="C66" t="str">
        <f t="shared" si="1"/>
        <v>0</v>
      </c>
      <c r="D66">
        <f t="shared" si="2"/>
        <v>2</v>
      </c>
      <c r="E66">
        <f t="shared" si="3"/>
        <v>3</v>
      </c>
      <c r="F66" t="str">
        <f>_xlfn.LET(_xlpm.count, _xlfn.XLOOKUP(B66,'CL.SOL5--20251227'!I:I,'CL.SOL5--20251227'!L:L), IF(_xlpm.count=E66,"-", _xlpm.count))</f>
        <v>-</v>
      </c>
      <c r="G66" t="str">
        <f t="shared" si="4"/>
        <v>ICW-22102-S1P1-Rev0-002</v>
      </c>
      <c r="H66" t="str">
        <f>_xlfn.LET(_xlpm.rev, _xlfn.XLOOKUP(B66,'CL.SOL5--20251227'!I:I,'CL.SOL5--20251227'!K:K), IF(_xlpm.rev=C66, "-", _xlpm.rev))</f>
        <v>-</v>
      </c>
      <c r="I66" s="28">
        <v>65</v>
      </c>
      <c r="J66" s="28" t="str">
        <f>_xlfn.XLOOKUP(B66,'CL.SOL5--20251227'!I:I,'CL.SOL5--20251227'!H:H)</f>
        <v>ICW-22102-2"-S1P1-C40</v>
      </c>
    </row>
    <row r="67" spans="1:10">
      <c r="A67" t="s">
        <v>446</v>
      </c>
      <c r="B67" t="str">
        <f t="shared" ref="B67:B130" si="5">_xlfn.LET(_xlpm.pos,IF(ISNUMBER(FIND("TRIM",A67)), 3, 2), _xlfn.TEXTBEFORE(A67, "-", _xlpm.pos))</f>
        <v>ICW-22102</v>
      </c>
      <c r="C67" t="str">
        <f t="shared" ref="C67:C130" si="6">_xlfn.TEXTBEFORE(_xlfn.TEXTAFTER(A67,"-Rev"), "-")</f>
        <v>0</v>
      </c>
      <c r="D67">
        <f t="shared" ref="D67:D130" si="7">VALUE(_xlfn.TEXTBEFORE(_xlfn.TEXTAFTER(A67, "-", -1), "."))</f>
        <v>3</v>
      </c>
      <c r="E67">
        <f t="shared" ref="E67:E130" si="8">_xlfn.MAXIFS(D:D,B:B,B67)</f>
        <v>3</v>
      </c>
      <c r="F67" t="str">
        <f>_xlfn.LET(_xlpm.count, _xlfn.XLOOKUP(B67,'CL.SOL5--20251227'!I:I,'CL.SOL5--20251227'!L:L), IF(_xlpm.count=E67,"-", _xlpm.count))</f>
        <v>-</v>
      </c>
      <c r="G67" t="str">
        <f t="shared" ref="G67:G130" si="9">_xlfn.TEXTBEFORE(A67,".")</f>
        <v>ICW-22102-S1P1-Rev0-003</v>
      </c>
      <c r="H67" t="str">
        <f>_xlfn.LET(_xlpm.rev, _xlfn.XLOOKUP(B67,'CL.SOL5--20251227'!I:I,'CL.SOL5--20251227'!K:K), IF(_xlpm.rev=C67, "-", _xlpm.rev))</f>
        <v>-</v>
      </c>
      <c r="I67" s="28">
        <v>66</v>
      </c>
      <c r="J67" s="28" t="str">
        <f>_xlfn.XLOOKUP(B67,'CL.SOL5--20251227'!I:I,'CL.SOL5--20251227'!H:H)</f>
        <v>ICW-22102-2"-S1P1-C40</v>
      </c>
    </row>
    <row r="68" spans="1:10" hidden="1">
      <c r="A68" t="s">
        <v>447</v>
      </c>
      <c r="B68" t="str">
        <f t="shared" si="5"/>
        <v>ICW-22107</v>
      </c>
      <c r="C68" t="str">
        <f t="shared" si="6"/>
        <v>0</v>
      </c>
      <c r="D68">
        <f t="shared" si="7"/>
        <v>1</v>
      </c>
      <c r="E68">
        <f t="shared" si="8"/>
        <v>1</v>
      </c>
      <c r="F68" t="str">
        <f>_xlfn.LET(_xlpm.count, _xlfn.XLOOKUP(B68,'CL.SOL5--20251227'!I:I,'CL.SOL5--20251227'!L:L), IF(_xlpm.count=E68,"-", _xlpm.count))</f>
        <v>-</v>
      </c>
      <c r="G68" t="str">
        <f t="shared" si="9"/>
        <v>ICW-22107-S1P1-Rev0-001</v>
      </c>
      <c r="H68" t="str">
        <f>_xlfn.LET(_xlpm.rev, _xlfn.XLOOKUP(B68,'CL.SOL5--20251227'!I:I,'CL.SOL5--20251227'!K:K), IF(_xlpm.rev=C68, "-", _xlpm.rev))</f>
        <v>-</v>
      </c>
      <c r="I68">
        <v>67</v>
      </c>
      <c r="J68" t="str">
        <f>_xlfn.XLOOKUP(B68,'CL.SOL5--20251227'!I:I,'CL.SOL5--20251227'!H:H)</f>
        <v>ICW-22107-1"-S1P1-C40</v>
      </c>
    </row>
    <row r="69" spans="1:10" hidden="1">
      <c r="A69" t="s">
        <v>448</v>
      </c>
      <c r="B69" t="str">
        <f t="shared" si="5"/>
        <v>ICW-22108</v>
      </c>
      <c r="C69" t="str">
        <f t="shared" si="6"/>
        <v>0</v>
      </c>
      <c r="D69">
        <f t="shared" si="7"/>
        <v>1</v>
      </c>
      <c r="E69">
        <f t="shared" si="8"/>
        <v>1</v>
      </c>
      <c r="F69" t="str">
        <f>_xlfn.LET(_xlpm.count, _xlfn.XLOOKUP(B69,'CL.SOL5--20251227'!I:I,'CL.SOL5--20251227'!L:L), IF(_xlpm.count=E69,"-", _xlpm.count))</f>
        <v>-</v>
      </c>
      <c r="G69" t="str">
        <f t="shared" si="9"/>
        <v>ICW-22108-S1P1-Rev0-001</v>
      </c>
      <c r="H69" t="str">
        <f>_xlfn.LET(_xlpm.rev, _xlfn.XLOOKUP(B69,'CL.SOL5--20251227'!I:I,'CL.SOL5--20251227'!K:K), IF(_xlpm.rev=C69, "-", _xlpm.rev))</f>
        <v>-</v>
      </c>
      <c r="I69">
        <v>68</v>
      </c>
      <c r="J69" t="str">
        <f>_xlfn.XLOOKUP(B69,'CL.SOL5--20251227'!I:I,'CL.SOL5--20251227'!H:H)</f>
        <v>ICW-22108-1"-S1P1-C40</v>
      </c>
    </row>
    <row r="70" spans="1:10" hidden="1">
      <c r="A70" t="s">
        <v>449</v>
      </c>
      <c r="B70" t="str">
        <f t="shared" si="5"/>
        <v>ICW-22109</v>
      </c>
      <c r="C70" t="str">
        <f t="shared" si="6"/>
        <v>0</v>
      </c>
      <c r="D70">
        <f t="shared" si="7"/>
        <v>1</v>
      </c>
      <c r="E70">
        <f t="shared" si="8"/>
        <v>1</v>
      </c>
      <c r="F70" t="str">
        <f>_xlfn.LET(_xlpm.count, _xlfn.XLOOKUP(B70,'CL.SOL5--20251227'!I:I,'CL.SOL5--20251227'!L:L), IF(_xlpm.count=E70,"-", _xlpm.count))</f>
        <v>-</v>
      </c>
      <c r="G70" t="str">
        <f t="shared" si="9"/>
        <v>ICW-22109-S1P1-Rev0-001</v>
      </c>
      <c r="H70" t="str">
        <f>_xlfn.LET(_xlpm.rev, _xlfn.XLOOKUP(B70,'CL.SOL5--20251227'!I:I,'CL.SOL5--20251227'!K:K), IF(_xlpm.rev=C70, "-", _xlpm.rev))</f>
        <v>-</v>
      </c>
      <c r="I70">
        <v>69</v>
      </c>
      <c r="J70" t="str">
        <f>_xlfn.XLOOKUP(B70,'CL.SOL5--20251227'!I:I,'CL.SOL5--20251227'!H:H)</f>
        <v>ICW-22109-1"-S1P1-C40</v>
      </c>
    </row>
    <row r="71" spans="1:10" hidden="1">
      <c r="A71" t="s">
        <v>450</v>
      </c>
      <c r="B71" t="str">
        <f t="shared" si="5"/>
        <v>ICW-22110</v>
      </c>
      <c r="C71" t="str">
        <f t="shared" si="6"/>
        <v>0</v>
      </c>
      <c r="D71">
        <f t="shared" si="7"/>
        <v>1</v>
      </c>
      <c r="E71">
        <f t="shared" si="8"/>
        <v>1</v>
      </c>
      <c r="F71" t="str">
        <f>_xlfn.LET(_xlpm.count, _xlfn.XLOOKUP(B71,'CL.SOL5--20251227'!I:I,'CL.SOL5--20251227'!L:L), IF(_xlpm.count=E71,"-", _xlpm.count))</f>
        <v>-</v>
      </c>
      <c r="G71" t="str">
        <f t="shared" si="9"/>
        <v>ICW-22110-S1P1-Rev0-001</v>
      </c>
      <c r="H71" t="str">
        <f>_xlfn.LET(_xlpm.rev, _xlfn.XLOOKUP(B71,'CL.SOL5--20251227'!I:I,'CL.SOL5--20251227'!K:K), IF(_xlpm.rev=C71, "-", _xlpm.rev))</f>
        <v>-</v>
      </c>
      <c r="I71">
        <v>70</v>
      </c>
      <c r="J71" t="str">
        <f>_xlfn.XLOOKUP(B71,'CL.SOL5--20251227'!I:I,'CL.SOL5--20251227'!H:H)</f>
        <v>ICW-22110-1"-S1P1-C40</v>
      </c>
    </row>
    <row r="72" spans="1:10">
      <c r="A72" t="s">
        <v>451</v>
      </c>
      <c r="B72" t="str">
        <f t="shared" si="5"/>
        <v>ICW-22201</v>
      </c>
      <c r="C72" t="str">
        <f t="shared" si="6"/>
        <v>0</v>
      </c>
      <c r="D72">
        <f t="shared" si="7"/>
        <v>1</v>
      </c>
      <c r="E72">
        <f t="shared" si="8"/>
        <v>2</v>
      </c>
      <c r="F72" t="str">
        <f>_xlfn.LET(_xlpm.count, _xlfn.XLOOKUP(B72,'CL.SOL5--20251227'!I:I,'CL.SOL5--20251227'!L:L), IF(_xlpm.count=E72,"-", _xlpm.count))</f>
        <v>-</v>
      </c>
      <c r="G72" t="str">
        <f t="shared" si="9"/>
        <v>ICW-22201-S1P1-Rev0-001</v>
      </c>
      <c r="H72" t="str">
        <f>_xlfn.LET(_xlpm.rev, _xlfn.XLOOKUP(B72,'CL.SOL5--20251227'!I:I,'CL.SOL5--20251227'!K:K), IF(_xlpm.rev=C72, "-", _xlpm.rev))</f>
        <v>-</v>
      </c>
      <c r="I72" s="28">
        <v>71</v>
      </c>
      <c r="J72" s="28" t="str">
        <f>_xlfn.XLOOKUP(B72,'CL.SOL5--20251227'!I:I,'CL.SOL5--20251227'!H:H)</f>
        <v>ICW-22201-3"-S1P1-C40</v>
      </c>
    </row>
    <row r="73" spans="1:10">
      <c r="A73" t="s">
        <v>452</v>
      </c>
      <c r="B73" t="str">
        <f t="shared" si="5"/>
        <v>ICW-22201</v>
      </c>
      <c r="C73" t="str">
        <f t="shared" si="6"/>
        <v>0</v>
      </c>
      <c r="D73">
        <f t="shared" si="7"/>
        <v>2</v>
      </c>
      <c r="E73">
        <f t="shared" si="8"/>
        <v>2</v>
      </c>
      <c r="F73" t="str">
        <f>_xlfn.LET(_xlpm.count, _xlfn.XLOOKUP(B73,'CL.SOL5--20251227'!I:I,'CL.SOL5--20251227'!L:L), IF(_xlpm.count=E73,"-", _xlpm.count))</f>
        <v>-</v>
      </c>
      <c r="G73" t="str">
        <f t="shared" si="9"/>
        <v>ICW-22201-S1P1-Rev0-002</v>
      </c>
      <c r="H73" t="str">
        <f>_xlfn.LET(_xlpm.rev, _xlfn.XLOOKUP(B73,'CL.SOL5--20251227'!I:I,'CL.SOL5--20251227'!K:K), IF(_xlpm.rev=C73, "-", _xlpm.rev))</f>
        <v>-</v>
      </c>
      <c r="I73" s="28">
        <v>72</v>
      </c>
      <c r="J73" s="28" t="str">
        <f>_xlfn.XLOOKUP(B73,'CL.SOL5--20251227'!I:I,'CL.SOL5--20251227'!H:H)</f>
        <v>ICW-22201-3"-S1P1-C40</v>
      </c>
    </row>
    <row r="74" spans="1:10">
      <c r="A74" t="s">
        <v>453</v>
      </c>
      <c r="B74" t="str">
        <f t="shared" si="5"/>
        <v>ICW-22202</v>
      </c>
      <c r="C74" t="str">
        <f t="shared" si="6"/>
        <v>0</v>
      </c>
      <c r="D74">
        <f t="shared" si="7"/>
        <v>1</v>
      </c>
      <c r="E74">
        <f t="shared" si="8"/>
        <v>2</v>
      </c>
      <c r="F74" t="str">
        <f>_xlfn.LET(_xlpm.count, _xlfn.XLOOKUP(B74,'CL.SOL5--20251227'!I:I,'CL.SOL5--20251227'!L:L), IF(_xlpm.count=E74,"-", _xlpm.count))</f>
        <v>-</v>
      </c>
      <c r="G74" t="str">
        <f t="shared" si="9"/>
        <v>ICW-22202-S1P1-Rev0-001</v>
      </c>
      <c r="H74" t="str">
        <f>_xlfn.LET(_xlpm.rev, _xlfn.XLOOKUP(B74,'CL.SOL5--20251227'!I:I,'CL.SOL5--20251227'!K:K), IF(_xlpm.rev=C74, "-", _xlpm.rev))</f>
        <v>-</v>
      </c>
      <c r="I74" s="28">
        <v>73</v>
      </c>
      <c r="J74" s="28" t="str">
        <f>_xlfn.XLOOKUP(B74,'CL.SOL5--20251227'!I:I,'CL.SOL5--20251227'!H:H)</f>
        <v>ICW-22202-3"-S1P1-C40</v>
      </c>
    </row>
    <row r="75" spans="1:10">
      <c r="A75" t="s">
        <v>454</v>
      </c>
      <c r="B75" t="str">
        <f t="shared" si="5"/>
        <v>ICW-22202</v>
      </c>
      <c r="C75" t="str">
        <f t="shared" si="6"/>
        <v>0</v>
      </c>
      <c r="D75">
        <f t="shared" si="7"/>
        <v>2</v>
      </c>
      <c r="E75">
        <f t="shared" si="8"/>
        <v>2</v>
      </c>
      <c r="F75" t="str">
        <f>_xlfn.LET(_xlpm.count, _xlfn.XLOOKUP(B75,'CL.SOL5--20251227'!I:I,'CL.SOL5--20251227'!L:L), IF(_xlpm.count=E75,"-", _xlpm.count))</f>
        <v>-</v>
      </c>
      <c r="G75" t="str">
        <f t="shared" si="9"/>
        <v>ICW-22202-S1P1-Rev0-002</v>
      </c>
      <c r="H75" t="str">
        <f>_xlfn.LET(_xlpm.rev, _xlfn.XLOOKUP(B75,'CL.SOL5--20251227'!I:I,'CL.SOL5--20251227'!K:K), IF(_xlpm.rev=C75, "-", _xlpm.rev))</f>
        <v>-</v>
      </c>
      <c r="I75" s="28">
        <v>74</v>
      </c>
      <c r="J75" s="28" t="str">
        <f>_xlfn.XLOOKUP(B75,'CL.SOL5--20251227'!I:I,'CL.SOL5--20251227'!H:H)</f>
        <v>ICW-22202-3"-S1P1-C40</v>
      </c>
    </row>
    <row r="76" spans="1:10" hidden="1">
      <c r="A76" t="s">
        <v>455</v>
      </c>
      <c r="B76" t="str">
        <f t="shared" si="5"/>
        <v>ICW-22207</v>
      </c>
      <c r="C76" t="str">
        <f t="shared" si="6"/>
        <v>0</v>
      </c>
      <c r="D76">
        <f t="shared" si="7"/>
        <v>1</v>
      </c>
      <c r="E76">
        <f t="shared" si="8"/>
        <v>1</v>
      </c>
      <c r="F76" t="str">
        <f>_xlfn.LET(_xlpm.count, _xlfn.XLOOKUP(B76,'CL.SOL5--20251227'!I:I,'CL.SOL5--20251227'!L:L), IF(_xlpm.count=E76,"-", _xlpm.count))</f>
        <v>-</v>
      </c>
      <c r="G76" t="str">
        <f t="shared" si="9"/>
        <v>ICW-22207-S1P1-Rev0-001</v>
      </c>
      <c r="H76" t="str">
        <f>_xlfn.LET(_xlpm.rev, _xlfn.XLOOKUP(B76,'CL.SOL5--20251227'!I:I,'CL.SOL5--20251227'!K:K), IF(_xlpm.rev=C76, "-", _xlpm.rev))</f>
        <v>-</v>
      </c>
      <c r="I76">
        <v>75</v>
      </c>
      <c r="J76" t="str">
        <f>_xlfn.XLOOKUP(B76,'CL.SOL5--20251227'!I:I,'CL.SOL5--20251227'!H:H)</f>
        <v>ICW-22207-1"-S1P1-C40</v>
      </c>
    </row>
    <row r="77" spans="1:10" hidden="1">
      <c r="A77" t="s">
        <v>456</v>
      </c>
      <c r="B77" t="str">
        <f t="shared" si="5"/>
        <v>ICW-22208</v>
      </c>
      <c r="C77" t="str">
        <f t="shared" si="6"/>
        <v>0</v>
      </c>
      <c r="D77">
        <f t="shared" si="7"/>
        <v>1</v>
      </c>
      <c r="E77">
        <f t="shared" si="8"/>
        <v>1</v>
      </c>
      <c r="F77" t="str">
        <f>_xlfn.LET(_xlpm.count, _xlfn.XLOOKUP(B77,'CL.SOL5--20251227'!I:I,'CL.SOL5--20251227'!L:L), IF(_xlpm.count=E77,"-", _xlpm.count))</f>
        <v>-</v>
      </c>
      <c r="G77" t="str">
        <f t="shared" si="9"/>
        <v>ICW-22208-S1P1-Rev0-001</v>
      </c>
      <c r="H77" t="str">
        <f>_xlfn.LET(_xlpm.rev, _xlfn.XLOOKUP(B77,'CL.SOL5--20251227'!I:I,'CL.SOL5--20251227'!K:K), IF(_xlpm.rev=C77, "-", _xlpm.rev))</f>
        <v>-</v>
      </c>
      <c r="I77">
        <v>76</v>
      </c>
      <c r="J77" t="str">
        <f>_xlfn.XLOOKUP(B77,'CL.SOL5--20251227'!I:I,'CL.SOL5--20251227'!H:H)</f>
        <v>ICW-22208-1"-S1P1-C40</v>
      </c>
    </row>
    <row r="78" spans="1:10" hidden="1">
      <c r="A78" t="s">
        <v>457</v>
      </c>
      <c r="B78" t="str">
        <f t="shared" si="5"/>
        <v>ICW-22352</v>
      </c>
      <c r="C78" t="str">
        <f t="shared" si="6"/>
        <v>0</v>
      </c>
      <c r="D78">
        <f t="shared" si="7"/>
        <v>1</v>
      </c>
      <c r="E78">
        <f t="shared" si="8"/>
        <v>2</v>
      </c>
      <c r="F78" t="str">
        <f>_xlfn.LET(_xlpm.count, _xlfn.XLOOKUP(B78,'CL.SOL5--20251227'!I:I,'CL.SOL5--20251227'!L:L), IF(_xlpm.count=E78,"-", _xlpm.count))</f>
        <v>-</v>
      </c>
      <c r="G78" t="str">
        <f t="shared" si="9"/>
        <v>ICW-22352-S1P1-Rev0-001</v>
      </c>
      <c r="H78" t="str">
        <f>_xlfn.LET(_xlpm.rev, _xlfn.XLOOKUP(B78,'CL.SOL5--20251227'!I:I,'CL.SOL5--20251227'!K:K), IF(_xlpm.rev=C78, "-", _xlpm.rev))</f>
        <v>-</v>
      </c>
      <c r="I78" s="28">
        <v>77</v>
      </c>
      <c r="J78" s="28" t="str">
        <f>_xlfn.XLOOKUP(B78,'CL.SOL5--20251227'!I:I,'CL.SOL5--20251227'!H:H)</f>
        <v>ICW-22352-4"-S1P1-C40</v>
      </c>
    </row>
    <row r="79" spans="1:10" hidden="1">
      <c r="A79" t="s">
        <v>458</v>
      </c>
      <c r="B79" t="str">
        <f t="shared" si="5"/>
        <v>ICW-22352</v>
      </c>
      <c r="C79" t="str">
        <f t="shared" si="6"/>
        <v>0</v>
      </c>
      <c r="D79">
        <f t="shared" si="7"/>
        <v>2</v>
      </c>
      <c r="E79">
        <f t="shared" si="8"/>
        <v>2</v>
      </c>
      <c r="F79" t="str">
        <f>_xlfn.LET(_xlpm.count, _xlfn.XLOOKUP(B79,'CL.SOL5--20251227'!I:I,'CL.SOL5--20251227'!L:L), IF(_xlpm.count=E79,"-", _xlpm.count))</f>
        <v>-</v>
      </c>
      <c r="G79" t="str">
        <f t="shared" si="9"/>
        <v>ICW-22352-S1P1-Rev0-002</v>
      </c>
      <c r="H79" t="str">
        <f>_xlfn.LET(_xlpm.rev, _xlfn.XLOOKUP(B79,'CL.SOL5--20251227'!I:I,'CL.SOL5--20251227'!K:K), IF(_xlpm.rev=C79, "-", _xlpm.rev))</f>
        <v>-</v>
      </c>
      <c r="I79" s="28">
        <v>78</v>
      </c>
      <c r="J79" s="28" t="str">
        <f>_xlfn.XLOOKUP(B79,'CL.SOL5--20251227'!I:I,'CL.SOL5--20251227'!H:H)</f>
        <v>ICW-22352-4"-S1P1-C40</v>
      </c>
    </row>
    <row r="80" spans="1:10" hidden="1">
      <c r="A80" s="16" t="s">
        <v>701</v>
      </c>
      <c r="B80" t="str">
        <f t="shared" si="5"/>
        <v>ICW-22351</v>
      </c>
      <c r="C80" t="str">
        <f t="shared" si="6"/>
        <v>0</v>
      </c>
      <c r="D80">
        <f t="shared" si="7"/>
        <v>1</v>
      </c>
      <c r="E80">
        <f t="shared" si="8"/>
        <v>2</v>
      </c>
      <c r="F80" t="str">
        <f>_xlfn.LET(_xlpm.count, _xlfn.XLOOKUP(B80,'CL.SOL5--20251227'!I:I,'CL.SOL5--20251227'!L:L), IF(_xlpm.count=E80,"-", _xlpm.count))</f>
        <v>-</v>
      </c>
      <c r="G80" t="str">
        <f t="shared" si="9"/>
        <v>ICW-22351-S1P1-Rev0-001</v>
      </c>
      <c r="H80" t="str">
        <f>_xlfn.LET(_xlpm.rev, _xlfn.XLOOKUP(B80,'CL.SOL5--20251227'!I:I,'CL.SOL5--20251227'!K:K), IF(_xlpm.rev=C80, "-", _xlpm.rev))</f>
        <v>-</v>
      </c>
      <c r="I80" s="28">
        <v>79</v>
      </c>
      <c r="J80" s="28" t="str">
        <f>_xlfn.XLOOKUP(B80,'CL.SOL5--20251227'!I:I,'CL.SOL5--20251227'!H:H)</f>
        <v>ICW-22351-4"-S1P1-C40</v>
      </c>
    </row>
    <row r="81" spans="1:10" hidden="1">
      <c r="A81" s="16" t="s">
        <v>702</v>
      </c>
      <c r="B81" t="str">
        <f t="shared" si="5"/>
        <v>ICW-22351</v>
      </c>
      <c r="C81" t="str">
        <f t="shared" si="6"/>
        <v>0</v>
      </c>
      <c r="D81">
        <f t="shared" si="7"/>
        <v>2</v>
      </c>
      <c r="E81">
        <f t="shared" si="8"/>
        <v>2</v>
      </c>
      <c r="F81" t="str">
        <f>_xlfn.LET(_xlpm.count, _xlfn.XLOOKUP(B81,'CL.SOL5--20251227'!I:I,'CL.SOL5--20251227'!L:L), IF(_xlpm.count=E81,"-", _xlpm.count))</f>
        <v>-</v>
      </c>
      <c r="G81" t="str">
        <f t="shared" si="9"/>
        <v>ICW-22351-S1P1-Rev0-002</v>
      </c>
      <c r="H81" t="str">
        <f>_xlfn.LET(_xlpm.rev, _xlfn.XLOOKUP(B81,'CL.SOL5--20251227'!I:I,'CL.SOL5--20251227'!K:K), IF(_xlpm.rev=C81, "-", _xlpm.rev))</f>
        <v>-</v>
      </c>
      <c r="I81" s="28">
        <v>80</v>
      </c>
      <c r="J81" s="28" t="str">
        <f>_xlfn.XLOOKUP(B81,'CL.SOL5--20251227'!I:I,'CL.SOL5--20251227'!H:H)</f>
        <v>ICW-22351-4"-S1P1-C40</v>
      </c>
    </row>
    <row r="82" spans="1:10" hidden="1">
      <c r="A82" t="s">
        <v>459</v>
      </c>
      <c r="B82" t="str">
        <f t="shared" si="5"/>
        <v>IW-22371</v>
      </c>
      <c r="C82" t="str">
        <f t="shared" si="6"/>
        <v>0</v>
      </c>
      <c r="D82">
        <f t="shared" si="7"/>
        <v>1</v>
      </c>
      <c r="E82">
        <f t="shared" si="8"/>
        <v>3</v>
      </c>
      <c r="F82" t="str">
        <f>_xlfn.LET(_xlpm.count, _xlfn.XLOOKUP(B82,'CL.SOL5--20251227'!I:I,'CL.SOL5--20251227'!L:L), IF(_xlpm.count=E82,"-", _xlpm.count))</f>
        <v>-</v>
      </c>
      <c r="G82" t="str">
        <f t="shared" si="9"/>
        <v>IW-22371-C1A1-Rev0-001</v>
      </c>
      <c r="H82" t="str">
        <f>_xlfn.LET(_xlpm.rev, _xlfn.XLOOKUP(B82,'CL.SOL5--20251227'!I:I,'CL.SOL5--20251227'!K:K), IF(_xlpm.rev=C82, "-", _xlpm.rev))</f>
        <v>-</v>
      </c>
      <c r="I82">
        <v>81</v>
      </c>
      <c r="J82" t="str">
        <f>_xlfn.XLOOKUP(B82,'CL.SOL5--20251227'!I:I,'CL.SOL5--20251227'!H:H)</f>
        <v>IW-22371-2"-C1A1</v>
      </c>
    </row>
    <row r="83" spans="1:10" hidden="1">
      <c r="A83" t="s">
        <v>460</v>
      </c>
      <c r="B83" t="str">
        <f t="shared" si="5"/>
        <v>IW-22371</v>
      </c>
      <c r="C83" t="str">
        <f t="shared" si="6"/>
        <v>0</v>
      </c>
      <c r="D83">
        <f t="shared" si="7"/>
        <v>2</v>
      </c>
      <c r="E83">
        <f t="shared" si="8"/>
        <v>3</v>
      </c>
      <c r="F83" t="str">
        <f>_xlfn.LET(_xlpm.count, _xlfn.XLOOKUP(B83,'CL.SOL5--20251227'!I:I,'CL.SOL5--20251227'!L:L), IF(_xlpm.count=E83,"-", _xlpm.count))</f>
        <v>-</v>
      </c>
      <c r="G83" t="str">
        <f t="shared" si="9"/>
        <v>IW-22371-C1A1-Rev0-002</v>
      </c>
      <c r="H83" t="str">
        <f>_xlfn.LET(_xlpm.rev, _xlfn.XLOOKUP(B83,'CL.SOL5--20251227'!I:I,'CL.SOL5--20251227'!K:K), IF(_xlpm.rev=C83, "-", _xlpm.rev))</f>
        <v>-</v>
      </c>
      <c r="I83">
        <v>82</v>
      </c>
      <c r="J83" t="str">
        <f>_xlfn.XLOOKUP(B83,'CL.SOL5--20251227'!I:I,'CL.SOL5--20251227'!H:H)</f>
        <v>IW-22371-2"-C1A1</v>
      </c>
    </row>
    <row r="84" spans="1:10" hidden="1">
      <c r="A84" t="s">
        <v>461</v>
      </c>
      <c r="B84" t="str">
        <f t="shared" si="5"/>
        <v>IW-22371</v>
      </c>
      <c r="C84" t="str">
        <f t="shared" si="6"/>
        <v>0</v>
      </c>
      <c r="D84">
        <f t="shared" si="7"/>
        <v>3</v>
      </c>
      <c r="E84">
        <f t="shared" si="8"/>
        <v>3</v>
      </c>
      <c r="F84" t="str">
        <f>_xlfn.LET(_xlpm.count, _xlfn.XLOOKUP(B84,'CL.SOL5--20251227'!I:I,'CL.SOL5--20251227'!L:L), IF(_xlpm.count=E84,"-", _xlpm.count))</f>
        <v>-</v>
      </c>
      <c r="G84" t="str">
        <f t="shared" si="9"/>
        <v>IW-22371-C1A1-Rev0-003</v>
      </c>
      <c r="H84" t="str">
        <f>_xlfn.LET(_xlpm.rev, _xlfn.XLOOKUP(B84,'CL.SOL5--20251227'!I:I,'CL.SOL5--20251227'!K:K), IF(_xlpm.rev=C84, "-", _xlpm.rev))</f>
        <v>-</v>
      </c>
      <c r="I84">
        <v>83</v>
      </c>
      <c r="J84" t="str">
        <f>_xlfn.XLOOKUP(B84,'CL.SOL5--20251227'!I:I,'CL.SOL5--20251227'!H:H)</f>
        <v>IW-22371-2"-C1A1</v>
      </c>
    </row>
    <row r="85" spans="1:10" hidden="1">
      <c r="A85" t="s">
        <v>462</v>
      </c>
      <c r="B85" t="str">
        <f t="shared" si="5"/>
        <v>IW-22372</v>
      </c>
      <c r="C85" t="str">
        <f t="shared" si="6"/>
        <v>0</v>
      </c>
      <c r="D85">
        <f t="shared" si="7"/>
        <v>1</v>
      </c>
      <c r="E85">
        <f t="shared" si="8"/>
        <v>1</v>
      </c>
      <c r="F85" t="str">
        <f>_xlfn.LET(_xlpm.count, _xlfn.XLOOKUP(B85,'CL.SOL5--20251227'!I:I,'CL.SOL5--20251227'!L:L), IF(_xlpm.count=E85,"-", _xlpm.count))</f>
        <v>-</v>
      </c>
      <c r="G85" t="str">
        <f t="shared" si="9"/>
        <v>IW-22372-C1A1-Rev0-001</v>
      </c>
      <c r="H85" t="str">
        <f>_xlfn.LET(_xlpm.rev, _xlfn.XLOOKUP(B85,'CL.SOL5--20251227'!I:I,'CL.SOL5--20251227'!K:K), IF(_xlpm.rev=C85, "-", _xlpm.rev))</f>
        <v>-</v>
      </c>
      <c r="I85">
        <v>84</v>
      </c>
      <c r="J85" t="str">
        <f>_xlfn.XLOOKUP(B85,'CL.SOL5--20251227'!I:I,'CL.SOL5--20251227'!H:H)</f>
        <v>IW-22372-1"-C1A1</v>
      </c>
    </row>
    <row r="86" spans="1:10" hidden="1">
      <c r="A86" t="s">
        <v>463</v>
      </c>
      <c r="B86" t="str">
        <f t="shared" si="5"/>
        <v>IW-22373</v>
      </c>
      <c r="C86" t="str">
        <f t="shared" si="6"/>
        <v>0</v>
      </c>
      <c r="D86">
        <f t="shared" si="7"/>
        <v>1</v>
      </c>
      <c r="E86">
        <f t="shared" si="8"/>
        <v>1</v>
      </c>
      <c r="F86" t="str">
        <f>_xlfn.LET(_xlpm.count, _xlfn.XLOOKUP(B86,'CL.SOL5--20251227'!I:I,'CL.SOL5--20251227'!L:L), IF(_xlpm.count=E86,"-", _xlpm.count))</f>
        <v>-</v>
      </c>
      <c r="G86" t="str">
        <f t="shared" si="9"/>
        <v>IW-22373-C1A1-Rev0-001</v>
      </c>
      <c r="H86" t="str">
        <f>_xlfn.LET(_xlpm.rev, _xlfn.XLOOKUP(B86,'CL.SOL5--20251227'!I:I,'CL.SOL5--20251227'!K:K), IF(_xlpm.rev=C86, "-", _xlpm.rev))</f>
        <v>-</v>
      </c>
      <c r="I86">
        <v>85</v>
      </c>
      <c r="J86" t="str">
        <f>_xlfn.XLOOKUP(B86,'CL.SOL5--20251227'!I:I,'CL.SOL5--20251227'!H:H)</f>
        <v>IW-22373-1"-C1A1</v>
      </c>
    </row>
    <row r="87" spans="1:10" hidden="1">
      <c r="A87" t="s">
        <v>464</v>
      </c>
      <c r="B87" t="str">
        <f t="shared" si="5"/>
        <v>IW-22374</v>
      </c>
      <c r="C87" t="str">
        <f t="shared" si="6"/>
        <v>0</v>
      </c>
      <c r="D87">
        <f t="shared" si="7"/>
        <v>1</v>
      </c>
      <c r="E87">
        <f t="shared" si="8"/>
        <v>1</v>
      </c>
      <c r="F87" t="str">
        <f>_xlfn.LET(_xlpm.count, _xlfn.XLOOKUP(B87,'CL.SOL5--20251227'!I:I,'CL.SOL5--20251227'!L:L), IF(_xlpm.count=E87,"-", _xlpm.count))</f>
        <v>-</v>
      </c>
      <c r="G87" t="str">
        <f t="shared" si="9"/>
        <v>IW-22374-C1A1-Rev0-001</v>
      </c>
      <c r="H87" t="str">
        <f>_xlfn.LET(_xlpm.rev, _xlfn.XLOOKUP(B87,'CL.SOL5--20251227'!I:I,'CL.SOL5--20251227'!K:K), IF(_xlpm.rev=C87, "-", _xlpm.rev))</f>
        <v>-</v>
      </c>
      <c r="I87">
        <v>86</v>
      </c>
      <c r="J87" t="str">
        <f>_xlfn.XLOOKUP(B87,'CL.SOL5--20251227'!I:I,'CL.SOL5--20251227'!H:H)</f>
        <v>IW-22374-1"-C1A1</v>
      </c>
    </row>
    <row r="88" spans="1:10" hidden="1">
      <c r="A88" t="s">
        <v>465</v>
      </c>
      <c r="B88" t="str">
        <f t="shared" si="5"/>
        <v>IW-22375</v>
      </c>
      <c r="C88" t="str">
        <f t="shared" si="6"/>
        <v>0</v>
      </c>
      <c r="D88">
        <f t="shared" si="7"/>
        <v>1</v>
      </c>
      <c r="E88">
        <f t="shared" si="8"/>
        <v>1</v>
      </c>
      <c r="F88" t="str">
        <f>_xlfn.LET(_xlpm.count, _xlfn.XLOOKUP(B88,'CL.SOL5--20251227'!I:I,'CL.SOL5--20251227'!L:L), IF(_xlpm.count=E88,"-", _xlpm.count))</f>
        <v>-</v>
      </c>
      <c r="G88" t="str">
        <f t="shared" si="9"/>
        <v>IW-22375-C1A1-Rev0-001</v>
      </c>
      <c r="H88" t="str">
        <f>_xlfn.LET(_xlpm.rev, _xlfn.XLOOKUP(B88,'CL.SOL5--20251227'!I:I,'CL.SOL5--20251227'!K:K), IF(_xlpm.rev=C88, "-", _xlpm.rev))</f>
        <v>-</v>
      </c>
      <c r="I88">
        <v>87</v>
      </c>
      <c r="J88" t="str">
        <f>_xlfn.XLOOKUP(B88,'CL.SOL5--20251227'!I:I,'CL.SOL5--20251227'!H:H)</f>
        <v>IW-22375-1"-C1A1</v>
      </c>
    </row>
    <row r="89" spans="1:10" hidden="1">
      <c r="A89" t="s">
        <v>466</v>
      </c>
      <c r="B89" t="str">
        <f t="shared" si="5"/>
        <v>IW-22376</v>
      </c>
      <c r="C89" t="str">
        <f t="shared" si="6"/>
        <v>0</v>
      </c>
      <c r="D89">
        <f t="shared" si="7"/>
        <v>1</v>
      </c>
      <c r="E89">
        <f t="shared" si="8"/>
        <v>1</v>
      </c>
      <c r="F89" t="str">
        <f>_xlfn.LET(_xlpm.count, _xlfn.XLOOKUP(B89,'CL.SOL5--20251227'!I:I,'CL.SOL5--20251227'!L:L), IF(_xlpm.count=E89,"-", _xlpm.count))</f>
        <v>-</v>
      </c>
      <c r="G89" t="str">
        <f t="shared" si="9"/>
        <v>IW-22376-C1A1-Rev0-001</v>
      </c>
      <c r="H89" t="str">
        <f>_xlfn.LET(_xlpm.rev, _xlfn.XLOOKUP(B89,'CL.SOL5--20251227'!I:I,'CL.SOL5--20251227'!K:K), IF(_xlpm.rev=C89, "-", _xlpm.rev))</f>
        <v>-</v>
      </c>
      <c r="I89">
        <v>88</v>
      </c>
      <c r="J89" t="str">
        <f>_xlfn.XLOOKUP(B89,'CL.SOL5--20251227'!I:I,'CL.SOL5--20251227'!H:H)</f>
        <v>IW-22376-1"-C1A1</v>
      </c>
    </row>
    <row r="90" spans="1:10" hidden="1">
      <c r="A90" t="s">
        <v>467</v>
      </c>
      <c r="B90" t="str">
        <f t="shared" si="5"/>
        <v>IW-22377</v>
      </c>
      <c r="C90" t="str">
        <f t="shared" si="6"/>
        <v>0</v>
      </c>
      <c r="D90">
        <f t="shared" si="7"/>
        <v>1</v>
      </c>
      <c r="E90">
        <f t="shared" si="8"/>
        <v>1</v>
      </c>
      <c r="F90" t="str">
        <f>_xlfn.LET(_xlpm.count, _xlfn.XLOOKUP(B90,'CL.SOL5--20251227'!I:I,'CL.SOL5--20251227'!L:L), IF(_xlpm.count=E90,"-", _xlpm.count))</f>
        <v>-</v>
      </c>
      <c r="G90" t="str">
        <f t="shared" si="9"/>
        <v>IW-22377-C1A1-Rev0-001</v>
      </c>
      <c r="H90" t="str">
        <f>_xlfn.LET(_xlpm.rev, _xlfn.XLOOKUP(B90,'CL.SOL5--20251227'!I:I,'CL.SOL5--20251227'!K:K), IF(_xlpm.rev=C90, "-", _xlpm.rev))</f>
        <v>-</v>
      </c>
      <c r="I90">
        <v>89</v>
      </c>
      <c r="J90" t="str">
        <f>_xlfn.XLOOKUP(B90,'CL.SOL5--20251227'!I:I,'CL.SOL5--20251227'!H:H)</f>
        <v>IW-22377-1"-C1A1</v>
      </c>
    </row>
    <row r="91" spans="1:10" hidden="1">
      <c r="A91" t="s">
        <v>468</v>
      </c>
      <c r="B91" t="str">
        <f t="shared" si="5"/>
        <v>IW-22378</v>
      </c>
      <c r="C91" t="str">
        <f t="shared" si="6"/>
        <v>0</v>
      </c>
      <c r="D91">
        <f t="shared" si="7"/>
        <v>1</v>
      </c>
      <c r="E91">
        <f t="shared" si="8"/>
        <v>1</v>
      </c>
      <c r="F91" t="str">
        <f>_xlfn.LET(_xlpm.count, _xlfn.XLOOKUP(B91,'CL.SOL5--20251227'!I:I,'CL.SOL5--20251227'!L:L), IF(_xlpm.count=E91,"-", _xlpm.count))</f>
        <v>-</v>
      </c>
      <c r="G91" t="str">
        <f t="shared" si="9"/>
        <v>IW-22378-C1A1-Rev0-001</v>
      </c>
      <c r="H91" t="str">
        <f>_xlfn.LET(_xlpm.rev, _xlfn.XLOOKUP(B91,'CL.SOL5--20251227'!I:I,'CL.SOL5--20251227'!K:K), IF(_xlpm.rev=C91, "-", _xlpm.rev))</f>
        <v>-</v>
      </c>
      <c r="I91">
        <v>90</v>
      </c>
      <c r="J91" t="str">
        <f>_xlfn.XLOOKUP(B91,'CL.SOL5--20251227'!I:I,'CL.SOL5--20251227'!H:H)</f>
        <v>IW-22378-1"-C1A1</v>
      </c>
    </row>
    <row r="92" spans="1:10" hidden="1">
      <c r="A92" t="s">
        <v>469</v>
      </c>
      <c r="B92" t="str">
        <f t="shared" si="5"/>
        <v>LC-22101</v>
      </c>
      <c r="C92" t="str">
        <f t="shared" si="6"/>
        <v>0</v>
      </c>
      <c r="D92">
        <f t="shared" si="7"/>
        <v>1</v>
      </c>
      <c r="E92">
        <f t="shared" si="8"/>
        <v>1</v>
      </c>
      <c r="F92" t="str">
        <f>_xlfn.LET(_xlpm.count, _xlfn.XLOOKUP(B92,'CL.SOL5--20251227'!I:I,'CL.SOL5--20251227'!L:L), IF(_xlpm.count=E92,"-", _xlpm.count))</f>
        <v>-</v>
      </c>
      <c r="G92" t="str">
        <f t="shared" si="9"/>
        <v>LC-22101-C3S1-Rev0-001</v>
      </c>
      <c r="H92" t="str">
        <f>_xlfn.LET(_xlpm.rev, _xlfn.XLOOKUP(B92,'CL.SOL5--20251227'!I:I,'CL.SOL5--20251227'!K:K), IF(_xlpm.rev=C92, "-", _xlpm.rev))</f>
        <v>-</v>
      </c>
      <c r="I92">
        <v>91</v>
      </c>
      <c r="J92" t="str">
        <f>_xlfn.XLOOKUP(B92,'CL.SOL5--20251227'!I:I,'CL.SOL5--20251227'!H:H)</f>
        <v>LC-22101-2"-C3S1-HC2</v>
      </c>
    </row>
    <row r="93" spans="1:10" hidden="1">
      <c r="A93" t="s">
        <v>470</v>
      </c>
      <c r="B93" t="str">
        <f t="shared" si="5"/>
        <v>LC-22102</v>
      </c>
      <c r="C93" t="str">
        <f t="shared" si="6"/>
        <v>0</v>
      </c>
      <c r="D93">
        <f t="shared" si="7"/>
        <v>1</v>
      </c>
      <c r="E93">
        <f t="shared" si="8"/>
        <v>2</v>
      </c>
      <c r="F93" t="str">
        <f>_xlfn.LET(_xlpm.count, _xlfn.XLOOKUP(B93,'CL.SOL5--20251227'!I:I,'CL.SOL5--20251227'!L:L), IF(_xlpm.count=E93,"-", _xlpm.count))</f>
        <v>-</v>
      </c>
      <c r="G93" t="str">
        <f t="shared" si="9"/>
        <v>LC-22102-C1S1-Rev0-001</v>
      </c>
      <c r="H93" t="str">
        <f>_xlfn.LET(_xlpm.rev, _xlfn.XLOOKUP(B93,'CL.SOL5--20251227'!I:I,'CL.SOL5--20251227'!K:K), IF(_xlpm.rev=C93, "-", _xlpm.rev))</f>
        <v>-</v>
      </c>
      <c r="I93">
        <v>92</v>
      </c>
      <c r="J93" t="str">
        <f>_xlfn.XLOOKUP(B93,'CL.SOL5--20251227'!I:I,'CL.SOL5--20251227'!H:H)</f>
        <v>LC-22102-2"-C1S1-HC2</v>
      </c>
    </row>
    <row r="94" spans="1:10" hidden="1">
      <c r="A94" t="s">
        <v>471</v>
      </c>
      <c r="B94" t="str">
        <f t="shared" si="5"/>
        <v>LC-22102</v>
      </c>
      <c r="C94" t="str">
        <f t="shared" si="6"/>
        <v>0</v>
      </c>
      <c r="D94">
        <f t="shared" si="7"/>
        <v>2</v>
      </c>
      <c r="E94">
        <f t="shared" si="8"/>
        <v>2</v>
      </c>
      <c r="F94" t="str">
        <f>_xlfn.LET(_xlpm.count, _xlfn.XLOOKUP(B94,'CL.SOL5--20251227'!I:I,'CL.SOL5--20251227'!L:L), IF(_xlpm.count=E94,"-", _xlpm.count))</f>
        <v>-</v>
      </c>
      <c r="G94" t="str">
        <f t="shared" si="9"/>
        <v>LC-22102-C1S1-Rev0-002</v>
      </c>
      <c r="H94" t="str">
        <f>_xlfn.LET(_xlpm.rev, _xlfn.XLOOKUP(B94,'CL.SOL5--20251227'!I:I,'CL.SOL5--20251227'!K:K), IF(_xlpm.rev=C94, "-", _xlpm.rev))</f>
        <v>-</v>
      </c>
      <c r="I94">
        <v>93</v>
      </c>
      <c r="J94" t="str">
        <f>_xlfn.XLOOKUP(B94,'CL.SOL5--20251227'!I:I,'CL.SOL5--20251227'!H:H)</f>
        <v>LC-22102-2"-C1S1-HC2</v>
      </c>
    </row>
    <row r="95" spans="1:10" hidden="1">
      <c r="A95" t="s">
        <v>472</v>
      </c>
      <c r="B95" t="str">
        <f t="shared" si="5"/>
        <v>LC-22201</v>
      </c>
      <c r="C95" t="str">
        <f t="shared" si="6"/>
        <v>0</v>
      </c>
      <c r="D95">
        <f t="shared" si="7"/>
        <v>1</v>
      </c>
      <c r="E95">
        <f t="shared" si="8"/>
        <v>1</v>
      </c>
      <c r="F95" t="str">
        <f>_xlfn.LET(_xlpm.count, _xlfn.XLOOKUP(B95,'CL.SOL5--20251227'!I:I,'CL.SOL5--20251227'!L:L), IF(_xlpm.count=E95,"-", _xlpm.count))</f>
        <v>-</v>
      </c>
      <c r="G95" t="str">
        <f t="shared" si="9"/>
        <v>LC-22201-C3S1-Rev0-001</v>
      </c>
      <c r="H95" t="str">
        <f>_xlfn.LET(_xlpm.rev, _xlfn.XLOOKUP(B95,'CL.SOL5--20251227'!I:I,'CL.SOL5--20251227'!K:K), IF(_xlpm.rev=C95, "-", _xlpm.rev))</f>
        <v>-</v>
      </c>
      <c r="I95">
        <v>94</v>
      </c>
      <c r="J95" t="str">
        <f>_xlfn.XLOOKUP(B95,'CL.SOL5--20251227'!I:I,'CL.SOL5--20251227'!H:H)</f>
        <v>LC-22201-3"-C3S1-HC2</v>
      </c>
    </row>
    <row r="96" spans="1:10" hidden="1">
      <c r="A96" t="s">
        <v>473</v>
      </c>
      <c r="B96" t="str">
        <f t="shared" si="5"/>
        <v>LC-22202</v>
      </c>
      <c r="C96" t="str">
        <f t="shared" si="6"/>
        <v>1</v>
      </c>
      <c r="D96">
        <f t="shared" si="7"/>
        <v>1</v>
      </c>
      <c r="E96">
        <f t="shared" si="8"/>
        <v>2</v>
      </c>
      <c r="F96" t="str">
        <f>_xlfn.LET(_xlpm.count, _xlfn.XLOOKUP(B96,'CL.SOL5--20251227'!I:I,'CL.SOL5--20251227'!L:L), IF(_xlpm.count=E96,"-", _xlpm.count))</f>
        <v>-</v>
      </c>
      <c r="G96" t="str">
        <f t="shared" si="9"/>
        <v>LC-22202-C1S1-Rev1-001</v>
      </c>
      <c r="H96" t="str">
        <f>_xlfn.LET(_xlpm.rev, _xlfn.XLOOKUP(B96,'CL.SOL5--20251227'!I:I,'CL.SOL5--20251227'!K:K), IF(_xlpm.rev=C96, "-", _xlpm.rev))</f>
        <v>-</v>
      </c>
      <c r="I96">
        <v>95</v>
      </c>
      <c r="J96" t="str">
        <f>_xlfn.XLOOKUP(B96,'CL.SOL5--20251227'!I:I,'CL.SOL5--20251227'!H:H)</f>
        <v>LC-22202-3"-C1S1-HC2</v>
      </c>
    </row>
    <row r="97" spans="1:10" hidden="1">
      <c r="A97" t="s">
        <v>474</v>
      </c>
      <c r="B97" t="str">
        <f t="shared" si="5"/>
        <v>LC-22202</v>
      </c>
      <c r="C97" t="str">
        <f t="shared" si="6"/>
        <v>1</v>
      </c>
      <c r="D97">
        <f t="shared" si="7"/>
        <v>2</v>
      </c>
      <c r="E97">
        <f t="shared" si="8"/>
        <v>2</v>
      </c>
      <c r="F97" t="str">
        <f>_xlfn.LET(_xlpm.count, _xlfn.XLOOKUP(B97,'CL.SOL5--20251227'!I:I,'CL.SOL5--20251227'!L:L), IF(_xlpm.count=E97,"-", _xlpm.count))</f>
        <v>-</v>
      </c>
      <c r="G97" t="str">
        <f t="shared" si="9"/>
        <v>LC-22202-C1S1-Rev1-002</v>
      </c>
      <c r="H97" t="str">
        <f>_xlfn.LET(_xlpm.rev, _xlfn.XLOOKUP(B97,'CL.SOL5--20251227'!I:I,'CL.SOL5--20251227'!K:K), IF(_xlpm.rev=C97, "-", _xlpm.rev))</f>
        <v>-</v>
      </c>
      <c r="I97">
        <v>96</v>
      </c>
      <c r="J97" t="str">
        <f>_xlfn.XLOOKUP(B97,'CL.SOL5--20251227'!I:I,'CL.SOL5--20251227'!H:H)</f>
        <v>LC-22202-3"-C1S1-HC2</v>
      </c>
    </row>
    <row r="98" spans="1:10" hidden="1">
      <c r="A98" t="s">
        <v>475</v>
      </c>
      <c r="B98" t="str">
        <f t="shared" si="5"/>
        <v>LC-22341</v>
      </c>
      <c r="C98" t="str">
        <f t="shared" si="6"/>
        <v>1</v>
      </c>
      <c r="D98">
        <f t="shared" si="7"/>
        <v>1</v>
      </c>
      <c r="E98">
        <f t="shared" si="8"/>
        <v>2</v>
      </c>
      <c r="F98" t="str">
        <f>_xlfn.LET(_xlpm.count, _xlfn.XLOOKUP(B98,'CL.SOL5--20251227'!I:I,'CL.SOL5--20251227'!L:L), IF(_xlpm.count=E98,"-", _xlpm.count))</f>
        <v>-</v>
      </c>
      <c r="G98" t="str">
        <f t="shared" si="9"/>
        <v>LC-22341-C1S1-Rev1-001</v>
      </c>
      <c r="H98" t="str">
        <f>_xlfn.LET(_xlpm.rev, _xlfn.XLOOKUP(B98,'CL.SOL5--20251227'!I:I,'CL.SOL5--20251227'!K:K), IF(_xlpm.rev=C98, "-", _xlpm.rev))</f>
        <v>-</v>
      </c>
      <c r="I98" s="28">
        <v>97</v>
      </c>
      <c r="J98" s="28" t="str">
        <f>_xlfn.XLOOKUP(B98,'CL.SOL5--20251227'!I:I,'CL.SOL5--20251227'!H:H)</f>
        <v>LC-22341-4"-C1S1-HC2</v>
      </c>
    </row>
    <row r="99" spans="1:10" hidden="1">
      <c r="A99" t="s">
        <v>476</v>
      </c>
      <c r="B99" t="str">
        <f t="shared" si="5"/>
        <v>LC-22341</v>
      </c>
      <c r="C99" t="str">
        <f t="shared" si="6"/>
        <v>1</v>
      </c>
      <c r="D99">
        <f t="shared" si="7"/>
        <v>2</v>
      </c>
      <c r="E99">
        <f t="shared" si="8"/>
        <v>2</v>
      </c>
      <c r="F99" t="str">
        <f>_xlfn.LET(_xlpm.count, _xlfn.XLOOKUP(B99,'CL.SOL5--20251227'!I:I,'CL.SOL5--20251227'!L:L), IF(_xlpm.count=E99,"-", _xlpm.count))</f>
        <v>-</v>
      </c>
      <c r="G99" t="str">
        <f t="shared" si="9"/>
        <v>LC-22341-C1S1-Rev1-002</v>
      </c>
      <c r="H99" t="str">
        <f>_xlfn.LET(_xlpm.rev, _xlfn.XLOOKUP(B99,'CL.SOL5--20251227'!I:I,'CL.SOL5--20251227'!K:K), IF(_xlpm.rev=C99, "-", _xlpm.rev))</f>
        <v>-</v>
      </c>
      <c r="I99" s="28">
        <v>98</v>
      </c>
      <c r="J99" s="28" t="str">
        <f>_xlfn.XLOOKUP(B99,'CL.SOL5--20251227'!I:I,'CL.SOL5--20251227'!H:H)</f>
        <v>LC-22341-4"-C1S1-HC2</v>
      </c>
    </row>
    <row r="100" spans="1:10" hidden="1">
      <c r="A100" t="s">
        <v>477</v>
      </c>
      <c r="B100" t="str">
        <f t="shared" si="5"/>
        <v>MC-22341</v>
      </c>
      <c r="C100" t="str">
        <f t="shared" si="6"/>
        <v>0</v>
      </c>
      <c r="D100">
        <f t="shared" si="7"/>
        <v>1</v>
      </c>
      <c r="E100">
        <f t="shared" si="8"/>
        <v>1</v>
      </c>
      <c r="F100" t="str">
        <f>_xlfn.LET(_xlpm.count, _xlfn.XLOOKUP(B100,'CL.SOL5--20251227'!I:I,'CL.SOL5--20251227'!L:L), IF(_xlpm.count=E100,"-", _xlpm.count))</f>
        <v>-</v>
      </c>
      <c r="G100" t="str">
        <f t="shared" si="9"/>
        <v>MC-22341-C3S1-Rev0-001</v>
      </c>
      <c r="H100" t="str">
        <f>_xlfn.LET(_xlpm.rev, _xlfn.XLOOKUP(B100,'CL.SOL5--20251227'!I:I,'CL.SOL5--20251227'!K:K), IF(_xlpm.rev=C100, "-", _xlpm.rev))</f>
        <v>-</v>
      </c>
      <c r="I100">
        <v>99</v>
      </c>
      <c r="J100" t="str">
        <f>_xlfn.XLOOKUP(B100,'CL.SOL5--20251227'!I:I,'CL.SOL5--20251227'!H:H)</f>
        <v>MC-22341-1"-C3S1-HC2</v>
      </c>
    </row>
    <row r="101" spans="1:10" hidden="1">
      <c r="A101" t="s">
        <v>478</v>
      </c>
      <c r="B101" t="str">
        <f t="shared" si="5"/>
        <v>MC-22342</v>
      </c>
      <c r="C101" t="str">
        <f t="shared" si="6"/>
        <v>0</v>
      </c>
      <c r="D101">
        <f t="shared" si="7"/>
        <v>1</v>
      </c>
      <c r="E101">
        <f t="shared" si="8"/>
        <v>2</v>
      </c>
      <c r="F101" t="str">
        <f>_xlfn.LET(_xlpm.count, _xlfn.XLOOKUP(B101,'CL.SOL5--20251227'!I:I,'CL.SOL5--20251227'!L:L), IF(_xlpm.count=E101,"-", _xlpm.count))</f>
        <v>-</v>
      </c>
      <c r="G101" t="str">
        <f t="shared" si="9"/>
        <v>MC-22342-C3S1-Rev0-001</v>
      </c>
      <c r="H101" t="str">
        <f>_xlfn.LET(_xlpm.rev, _xlfn.XLOOKUP(B101,'CL.SOL5--20251227'!I:I,'CL.SOL5--20251227'!K:K), IF(_xlpm.rev=C101, "-", _xlpm.rev))</f>
        <v>-</v>
      </c>
      <c r="I101">
        <v>100</v>
      </c>
      <c r="J101" t="str">
        <f>_xlfn.XLOOKUP(B101,'CL.SOL5--20251227'!I:I,'CL.SOL5--20251227'!H:H)</f>
        <v>MC-22342-3/4"-C3S1-HC2</v>
      </c>
    </row>
    <row r="102" spans="1:10" hidden="1">
      <c r="A102" t="s">
        <v>479</v>
      </c>
      <c r="B102" t="str">
        <f t="shared" si="5"/>
        <v>MC-22342</v>
      </c>
      <c r="C102" t="str">
        <f t="shared" si="6"/>
        <v>0</v>
      </c>
      <c r="D102">
        <f t="shared" si="7"/>
        <v>2</v>
      </c>
      <c r="E102">
        <f t="shared" si="8"/>
        <v>2</v>
      </c>
      <c r="F102" t="str">
        <f>_xlfn.LET(_xlpm.count, _xlfn.XLOOKUP(B102,'CL.SOL5--20251227'!I:I,'CL.SOL5--20251227'!L:L), IF(_xlpm.count=E102,"-", _xlpm.count))</f>
        <v>-</v>
      </c>
      <c r="G102" t="str">
        <f t="shared" si="9"/>
        <v>MC-22342-C3S1-Rev0-002</v>
      </c>
      <c r="H102" t="str">
        <f>_xlfn.LET(_xlpm.rev, _xlfn.XLOOKUP(B102,'CL.SOL5--20251227'!I:I,'CL.SOL5--20251227'!K:K), IF(_xlpm.rev=C102, "-", _xlpm.rev))</f>
        <v>-</v>
      </c>
      <c r="I102">
        <v>101</v>
      </c>
      <c r="J102" t="str">
        <f>_xlfn.XLOOKUP(B102,'CL.SOL5--20251227'!I:I,'CL.SOL5--20251227'!H:H)</f>
        <v>MC-22342-3/4"-C3S1-HC2</v>
      </c>
    </row>
    <row r="103" spans="1:10" hidden="1">
      <c r="A103" t="s">
        <v>480</v>
      </c>
      <c r="B103" t="str">
        <f t="shared" si="5"/>
        <v>MS-22101</v>
      </c>
      <c r="C103" t="str">
        <f t="shared" si="6"/>
        <v>0</v>
      </c>
      <c r="D103">
        <f t="shared" si="7"/>
        <v>1</v>
      </c>
      <c r="E103">
        <f t="shared" si="8"/>
        <v>6</v>
      </c>
      <c r="F103" t="str">
        <f>_xlfn.LET(_xlpm.count, _xlfn.XLOOKUP(B103,'CL.SOL5--20251227'!I:I,'CL.SOL5--20251227'!L:L), IF(_xlpm.count=E103,"-", _xlpm.count))</f>
        <v>-</v>
      </c>
      <c r="G103" t="str">
        <f t="shared" si="9"/>
        <v>MS-22101-C3S1-Rev0-001</v>
      </c>
      <c r="H103" t="str">
        <f>_xlfn.LET(_xlpm.rev, _xlfn.XLOOKUP(B103,'CL.SOL5--20251227'!I:I,'CL.SOL5--20251227'!K:K), IF(_xlpm.rev=C103, "-", _xlpm.rev))</f>
        <v>-</v>
      </c>
      <c r="I103">
        <v>102</v>
      </c>
      <c r="J103" t="str">
        <f>_xlfn.XLOOKUP(B103,'CL.SOL5--20251227'!I:I,'CL.SOL5--20251227'!H:H)</f>
        <v>MS-22101-3"-C3S1-HC2</v>
      </c>
    </row>
    <row r="104" spans="1:10" hidden="1">
      <c r="A104" t="s">
        <v>481</v>
      </c>
      <c r="B104" t="str">
        <f t="shared" si="5"/>
        <v>MS-22101</v>
      </c>
      <c r="C104" t="str">
        <f t="shared" si="6"/>
        <v>0</v>
      </c>
      <c r="D104">
        <f t="shared" si="7"/>
        <v>2</v>
      </c>
      <c r="E104">
        <f t="shared" si="8"/>
        <v>6</v>
      </c>
      <c r="F104" t="str">
        <f>_xlfn.LET(_xlpm.count, _xlfn.XLOOKUP(B104,'CL.SOL5--20251227'!I:I,'CL.SOL5--20251227'!L:L), IF(_xlpm.count=E104,"-", _xlpm.count))</f>
        <v>-</v>
      </c>
      <c r="G104" t="str">
        <f t="shared" si="9"/>
        <v>MS-22101-C3S1-Rev0-002</v>
      </c>
      <c r="H104" t="str">
        <f>_xlfn.LET(_xlpm.rev, _xlfn.XLOOKUP(B104,'CL.SOL5--20251227'!I:I,'CL.SOL5--20251227'!K:K), IF(_xlpm.rev=C104, "-", _xlpm.rev))</f>
        <v>-</v>
      </c>
      <c r="I104">
        <v>103</v>
      </c>
      <c r="J104" t="str">
        <f>_xlfn.XLOOKUP(B104,'CL.SOL5--20251227'!I:I,'CL.SOL5--20251227'!H:H)</f>
        <v>MS-22101-3"-C3S1-HC2</v>
      </c>
    </row>
    <row r="105" spans="1:10" hidden="1">
      <c r="A105" t="s">
        <v>482</v>
      </c>
      <c r="B105" t="str">
        <f t="shared" si="5"/>
        <v>MS-22101</v>
      </c>
      <c r="C105" t="str">
        <f t="shared" si="6"/>
        <v>0</v>
      </c>
      <c r="D105">
        <f t="shared" si="7"/>
        <v>3</v>
      </c>
      <c r="E105">
        <f t="shared" si="8"/>
        <v>6</v>
      </c>
      <c r="F105" t="str">
        <f>_xlfn.LET(_xlpm.count, _xlfn.XLOOKUP(B105,'CL.SOL5--20251227'!I:I,'CL.SOL5--20251227'!L:L), IF(_xlpm.count=E105,"-", _xlpm.count))</f>
        <v>-</v>
      </c>
      <c r="G105" t="str">
        <f t="shared" si="9"/>
        <v>MS-22101-C3S1-Rev0-003</v>
      </c>
      <c r="H105" t="str">
        <f>_xlfn.LET(_xlpm.rev, _xlfn.XLOOKUP(B105,'CL.SOL5--20251227'!I:I,'CL.SOL5--20251227'!K:K), IF(_xlpm.rev=C105, "-", _xlpm.rev))</f>
        <v>-</v>
      </c>
      <c r="I105">
        <v>104</v>
      </c>
      <c r="J105" t="str">
        <f>_xlfn.XLOOKUP(B105,'CL.SOL5--20251227'!I:I,'CL.SOL5--20251227'!H:H)</f>
        <v>MS-22101-3"-C3S1-HC2</v>
      </c>
    </row>
    <row r="106" spans="1:10" hidden="1">
      <c r="A106" t="s">
        <v>483</v>
      </c>
      <c r="B106" t="str">
        <f t="shared" si="5"/>
        <v>MS-22101</v>
      </c>
      <c r="C106" t="str">
        <f t="shared" si="6"/>
        <v>0</v>
      </c>
      <c r="D106">
        <f t="shared" si="7"/>
        <v>4</v>
      </c>
      <c r="E106">
        <f t="shared" si="8"/>
        <v>6</v>
      </c>
      <c r="F106" t="str">
        <f>_xlfn.LET(_xlpm.count, _xlfn.XLOOKUP(B106,'CL.SOL5--20251227'!I:I,'CL.SOL5--20251227'!L:L), IF(_xlpm.count=E106,"-", _xlpm.count))</f>
        <v>-</v>
      </c>
      <c r="G106" t="str">
        <f t="shared" si="9"/>
        <v>MS-22101-C3S1-Rev0-004</v>
      </c>
      <c r="H106" t="str">
        <f>_xlfn.LET(_xlpm.rev, _xlfn.XLOOKUP(B106,'CL.SOL5--20251227'!I:I,'CL.SOL5--20251227'!K:K), IF(_xlpm.rev=C106, "-", _xlpm.rev))</f>
        <v>-</v>
      </c>
      <c r="I106">
        <v>105</v>
      </c>
      <c r="J106" t="str">
        <f>_xlfn.XLOOKUP(B106,'CL.SOL5--20251227'!I:I,'CL.SOL5--20251227'!H:H)</f>
        <v>MS-22101-3"-C3S1-HC2</v>
      </c>
    </row>
    <row r="107" spans="1:10" hidden="1">
      <c r="A107" t="s">
        <v>484</v>
      </c>
      <c r="B107" t="str">
        <f t="shared" si="5"/>
        <v>MS-22101</v>
      </c>
      <c r="C107" t="str">
        <f t="shared" si="6"/>
        <v>0</v>
      </c>
      <c r="D107">
        <f t="shared" si="7"/>
        <v>5</v>
      </c>
      <c r="E107">
        <f t="shared" si="8"/>
        <v>6</v>
      </c>
      <c r="F107" t="str">
        <f>_xlfn.LET(_xlpm.count, _xlfn.XLOOKUP(B107,'CL.SOL5--20251227'!I:I,'CL.SOL5--20251227'!L:L), IF(_xlpm.count=E107,"-", _xlpm.count))</f>
        <v>-</v>
      </c>
      <c r="G107" t="str">
        <f t="shared" si="9"/>
        <v>MS-22101-C3S1-Rev0-005</v>
      </c>
      <c r="H107" t="str">
        <f>_xlfn.LET(_xlpm.rev, _xlfn.XLOOKUP(B107,'CL.SOL5--20251227'!I:I,'CL.SOL5--20251227'!K:K), IF(_xlpm.rev=C107, "-", _xlpm.rev))</f>
        <v>-</v>
      </c>
      <c r="I107">
        <v>106</v>
      </c>
      <c r="J107" t="str">
        <f>_xlfn.XLOOKUP(B107,'CL.SOL5--20251227'!I:I,'CL.SOL5--20251227'!H:H)</f>
        <v>MS-22101-3"-C3S1-HC2</v>
      </c>
    </row>
    <row r="108" spans="1:10" hidden="1">
      <c r="A108" t="s">
        <v>485</v>
      </c>
      <c r="B108" t="str">
        <f t="shared" si="5"/>
        <v>MS-22101</v>
      </c>
      <c r="C108" t="str">
        <f t="shared" si="6"/>
        <v>0</v>
      </c>
      <c r="D108">
        <f t="shared" si="7"/>
        <v>6</v>
      </c>
      <c r="E108">
        <f t="shared" si="8"/>
        <v>6</v>
      </c>
      <c r="F108" t="str">
        <f>_xlfn.LET(_xlpm.count, _xlfn.XLOOKUP(B108,'CL.SOL5--20251227'!I:I,'CL.SOL5--20251227'!L:L), IF(_xlpm.count=E108,"-", _xlpm.count))</f>
        <v>-</v>
      </c>
      <c r="G108" t="str">
        <f t="shared" si="9"/>
        <v>MS-22101-C3S1-Rev0-006</v>
      </c>
      <c r="H108" t="str">
        <f>_xlfn.LET(_xlpm.rev, _xlfn.XLOOKUP(B108,'CL.SOL5--20251227'!I:I,'CL.SOL5--20251227'!K:K), IF(_xlpm.rev=C108, "-", _xlpm.rev))</f>
        <v>-</v>
      </c>
      <c r="I108">
        <v>107</v>
      </c>
      <c r="J108" t="str">
        <f>_xlfn.XLOOKUP(B108,'CL.SOL5--20251227'!I:I,'CL.SOL5--20251227'!H:H)</f>
        <v>MS-22101-3"-C3S1-HC2</v>
      </c>
    </row>
    <row r="109" spans="1:10" hidden="1">
      <c r="A109" t="s">
        <v>486</v>
      </c>
      <c r="B109" t="str">
        <f t="shared" si="5"/>
        <v>MS-22201</v>
      </c>
      <c r="C109" t="str">
        <f t="shared" si="6"/>
        <v>0</v>
      </c>
      <c r="D109">
        <f t="shared" si="7"/>
        <v>1</v>
      </c>
      <c r="E109">
        <f t="shared" si="8"/>
        <v>4</v>
      </c>
      <c r="F109" t="str">
        <f>_xlfn.LET(_xlpm.count, _xlfn.XLOOKUP(B109,'CL.SOL5--20251227'!I:I,'CL.SOL5--20251227'!L:L), IF(_xlpm.count=E109,"-", _xlpm.count))</f>
        <v>-</v>
      </c>
      <c r="G109" t="str">
        <f t="shared" si="9"/>
        <v>MS-22201-C3S1-Rev0-001</v>
      </c>
      <c r="H109" t="str">
        <f>_xlfn.LET(_xlpm.rev, _xlfn.XLOOKUP(B109,'CL.SOL5--20251227'!I:I,'CL.SOL5--20251227'!K:K), IF(_xlpm.rev=C109, "-", _xlpm.rev))</f>
        <v>-</v>
      </c>
      <c r="I109">
        <v>108</v>
      </c>
      <c r="J109" t="str">
        <f>_xlfn.XLOOKUP(B109,'CL.SOL5--20251227'!I:I,'CL.SOL5--20251227'!H:H)</f>
        <v>MS-22201-4"-C3S1-HC2</v>
      </c>
    </row>
    <row r="110" spans="1:10" hidden="1">
      <c r="A110" t="s">
        <v>487</v>
      </c>
      <c r="B110" t="str">
        <f t="shared" si="5"/>
        <v>MS-22201</v>
      </c>
      <c r="C110" t="str">
        <f t="shared" si="6"/>
        <v>0</v>
      </c>
      <c r="D110">
        <f t="shared" si="7"/>
        <v>2</v>
      </c>
      <c r="E110">
        <f t="shared" si="8"/>
        <v>4</v>
      </c>
      <c r="F110" t="str">
        <f>_xlfn.LET(_xlpm.count, _xlfn.XLOOKUP(B110,'CL.SOL5--20251227'!I:I,'CL.SOL5--20251227'!L:L), IF(_xlpm.count=E110,"-", _xlpm.count))</f>
        <v>-</v>
      </c>
      <c r="G110" t="str">
        <f t="shared" si="9"/>
        <v>MS-22201-C3S1-Rev0-002</v>
      </c>
      <c r="H110" t="str">
        <f>_xlfn.LET(_xlpm.rev, _xlfn.XLOOKUP(B110,'CL.SOL5--20251227'!I:I,'CL.SOL5--20251227'!K:K), IF(_xlpm.rev=C110, "-", _xlpm.rev))</f>
        <v>-</v>
      </c>
      <c r="I110">
        <v>109</v>
      </c>
      <c r="J110" t="str">
        <f>_xlfn.XLOOKUP(B110,'CL.SOL5--20251227'!I:I,'CL.SOL5--20251227'!H:H)</f>
        <v>MS-22201-4"-C3S1-HC2</v>
      </c>
    </row>
    <row r="111" spans="1:10" hidden="1">
      <c r="A111" t="s">
        <v>488</v>
      </c>
      <c r="B111" t="str">
        <f t="shared" si="5"/>
        <v>MS-22201</v>
      </c>
      <c r="C111" t="str">
        <f t="shared" si="6"/>
        <v>0</v>
      </c>
      <c r="D111">
        <f t="shared" si="7"/>
        <v>3</v>
      </c>
      <c r="E111">
        <f t="shared" si="8"/>
        <v>4</v>
      </c>
      <c r="F111" t="str">
        <f>_xlfn.LET(_xlpm.count, _xlfn.XLOOKUP(B111,'CL.SOL5--20251227'!I:I,'CL.SOL5--20251227'!L:L), IF(_xlpm.count=E111,"-", _xlpm.count))</f>
        <v>-</v>
      </c>
      <c r="G111" t="str">
        <f t="shared" si="9"/>
        <v>MS-22201-C3S1-Rev0-003</v>
      </c>
      <c r="H111" t="str">
        <f>_xlfn.LET(_xlpm.rev, _xlfn.XLOOKUP(B111,'CL.SOL5--20251227'!I:I,'CL.SOL5--20251227'!K:K), IF(_xlpm.rev=C111, "-", _xlpm.rev))</f>
        <v>-</v>
      </c>
      <c r="I111">
        <v>110</v>
      </c>
      <c r="J111" t="str">
        <f>_xlfn.XLOOKUP(B111,'CL.SOL5--20251227'!I:I,'CL.SOL5--20251227'!H:H)</f>
        <v>MS-22201-4"-C3S1-HC2</v>
      </c>
    </row>
    <row r="112" spans="1:10" hidden="1">
      <c r="A112" t="s">
        <v>489</v>
      </c>
      <c r="B112" t="str">
        <f t="shared" si="5"/>
        <v>MS-22201</v>
      </c>
      <c r="C112" t="str">
        <f t="shared" si="6"/>
        <v>0</v>
      </c>
      <c r="D112">
        <f t="shared" si="7"/>
        <v>4</v>
      </c>
      <c r="E112">
        <f t="shared" si="8"/>
        <v>4</v>
      </c>
      <c r="F112" t="str">
        <f>_xlfn.LET(_xlpm.count, _xlfn.XLOOKUP(B112,'CL.SOL5--20251227'!I:I,'CL.SOL5--20251227'!L:L), IF(_xlpm.count=E112,"-", _xlpm.count))</f>
        <v>-</v>
      </c>
      <c r="G112" t="str">
        <f t="shared" si="9"/>
        <v>MS-22201-C3S1-Rev0-004</v>
      </c>
      <c r="H112" t="str">
        <f>_xlfn.LET(_xlpm.rev, _xlfn.XLOOKUP(B112,'CL.SOL5--20251227'!I:I,'CL.SOL5--20251227'!K:K), IF(_xlpm.rev=C112, "-", _xlpm.rev))</f>
        <v>-</v>
      </c>
      <c r="I112">
        <v>111</v>
      </c>
      <c r="J112" t="str">
        <f>_xlfn.XLOOKUP(B112,'CL.SOL5--20251227'!I:I,'CL.SOL5--20251227'!H:H)</f>
        <v>MS-22201-4"-C3S1-HC2</v>
      </c>
    </row>
    <row r="113" spans="1:10" hidden="1">
      <c r="A113" t="s">
        <v>490</v>
      </c>
      <c r="B113" t="str">
        <f t="shared" si="5"/>
        <v>MS-22341</v>
      </c>
      <c r="C113" t="str">
        <f t="shared" si="6"/>
        <v>0</v>
      </c>
      <c r="D113">
        <f t="shared" si="7"/>
        <v>1</v>
      </c>
      <c r="E113">
        <f t="shared" si="8"/>
        <v>4</v>
      </c>
      <c r="F113" t="str">
        <f>_xlfn.LET(_xlpm.count, _xlfn.XLOOKUP(B113,'CL.SOL5--20251227'!I:I,'CL.SOL5--20251227'!L:L), IF(_xlpm.count=E113,"-", _xlpm.count))</f>
        <v>-</v>
      </c>
      <c r="G113" t="str">
        <f t="shared" si="9"/>
        <v>MS-22341-C3S1-Rev0-001</v>
      </c>
      <c r="H113" t="str">
        <f>_xlfn.LET(_xlpm.rev, _xlfn.XLOOKUP(B113,'CL.SOL5--20251227'!I:I,'CL.SOL5--20251227'!K:K), IF(_xlpm.rev=C113, "-", _xlpm.rev))</f>
        <v>-</v>
      </c>
      <c r="I113" s="28">
        <v>112</v>
      </c>
      <c r="J113" s="28" t="str">
        <f>_xlfn.XLOOKUP(B113,'CL.SOL5--20251227'!I:I,'CL.SOL5--20251227'!H:H)</f>
        <v>MS-22341-6"-C3S1-HC2</v>
      </c>
    </row>
    <row r="114" spans="1:10" hidden="1">
      <c r="A114" t="s">
        <v>491</v>
      </c>
      <c r="B114" t="str">
        <f t="shared" si="5"/>
        <v>MS-22341</v>
      </c>
      <c r="C114" t="str">
        <f t="shared" si="6"/>
        <v>0</v>
      </c>
      <c r="D114">
        <f t="shared" si="7"/>
        <v>2</v>
      </c>
      <c r="E114">
        <f t="shared" si="8"/>
        <v>4</v>
      </c>
      <c r="F114" t="str">
        <f>_xlfn.LET(_xlpm.count, _xlfn.XLOOKUP(B114,'CL.SOL5--20251227'!I:I,'CL.SOL5--20251227'!L:L), IF(_xlpm.count=E114,"-", _xlpm.count))</f>
        <v>-</v>
      </c>
      <c r="G114" t="str">
        <f t="shared" si="9"/>
        <v>MS-22341-C3S1-Rev0-002</v>
      </c>
      <c r="H114" t="str">
        <f>_xlfn.LET(_xlpm.rev, _xlfn.XLOOKUP(B114,'CL.SOL5--20251227'!I:I,'CL.SOL5--20251227'!K:K), IF(_xlpm.rev=C114, "-", _xlpm.rev))</f>
        <v>-</v>
      </c>
      <c r="I114" s="28">
        <v>113</v>
      </c>
      <c r="J114" s="28" t="str">
        <f>_xlfn.XLOOKUP(B114,'CL.SOL5--20251227'!I:I,'CL.SOL5--20251227'!H:H)</f>
        <v>MS-22341-6"-C3S1-HC2</v>
      </c>
    </row>
    <row r="115" spans="1:10" hidden="1">
      <c r="A115" t="s">
        <v>492</v>
      </c>
      <c r="B115" t="str">
        <f t="shared" si="5"/>
        <v>MS-22341</v>
      </c>
      <c r="C115" t="str">
        <f t="shared" si="6"/>
        <v>0</v>
      </c>
      <c r="D115">
        <f t="shared" si="7"/>
        <v>3</v>
      </c>
      <c r="E115">
        <f t="shared" si="8"/>
        <v>4</v>
      </c>
      <c r="F115" t="str">
        <f>_xlfn.LET(_xlpm.count, _xlfn.XLOOKUP(B115,'CL.SOL5--20251227'!I:I,'CL.SOL5--20251227'!L:L), IF(_xlpm.count=E115,"-", _xlpm.count))</f>
        <v>-</v>
      </c>
      <c r="G115" t="str">
        <f t="shared" si="9"/>
        <v>MS-22341-C3S1-Rev0-003</v>
      </c>
      <c r="H115" t="str">
        <f>_xlfn.LET(_xlpm.rev, _xlfn.XLOOKUP(B115,'CL.SOL5--20251227'!I:I,'CL.SOL5--20251227'!K:K), IF(_xlpm.rev=C115, "-", _xlpm.rev))</f>
        <v>-</v>
      </c>
      <c r="I115" s="28">
        <v>114</v>
      </c>
      <c r="J115" s="28" t="str">
        <f>_xlfn.XLOOKUP(B115,'CL.SOL5--20251227'!I:I,'CL.SOL5--20251227'!H:H)</f>
        <v>MS-22341-6"-C3S1-HC2</v>
      </c>
    </row>
    <row r="116" spans="1:10" hidden="1">
      <c r="A116" t="s">
        <v>493</v>
      </c>
      <c r="B116" t="str">
        <f t="shared" si="5"/>
        <v>MS-22341</v>
      </c>
      <c r="C116" t="str">
        <f t="shared" si="6"/>
        <v>0</v>
      </c>
      <c r="D116">
        <f t="shared" si="7"/>
        <v>4</v>
      </c>
      <c r="E116">
        <f t="shared" si="8"/>
        <v>4</v>
      </c>
      <c r="F116" t="str">
        <f>_xlfn.LET(_xlpm.count, _xlfn.XLOOKUP(B116,'CL.SOL5--20251227'!I:I,'CL.SOL5--20251227'!L:L), IF(_xlpm.count=E116,"-", _xlpm.count))</f>
        <v>-</v>
      </c>
      <c r="G116" t="str">
        <f t="shared" si="9"/>
        <v>MS-22341-C3S1-Rev0-004</v>
      </c>
      <c r="H116" t="str">
        <f>_xlfn.LET(_xlpm.rev, _xlfn.XLOOKUP(B116,'CL.SOL5--20251227'!I:I,'CL.SOL5--20251227'!K:K), IF(_xlpm.rev=C116, "-", _xlpm.rev))</f>
        <v>-</v>
      </c>
      <c r="I116" s="28">
        <v>115</v>
      </c>
      <c r="J116" s="28" t="str">
        <f>_xlfn.XLOOKUP(B116,'CL.SOL5--20251227'!I:I,'CL.SOL5--20251227'!H:H)</f>
        <v>MS-22341-6"-C3S1-HC2</v>
      </c>
    </row>
    <row r="117" spans="1:10" hidden="1">
      <c r="A117" t="s">
        <v>494</v>
      </c>
      <c r="B117" t="str">
        <f t="shared" si="5"/>
        <v>NI-22101</v>
      </c>
      <c r="C117" t="str">
        <f t="shared" si="6"/>
        <v>0</v>
      </c>
      <c r="D117">
        <f t="shared" si="7"/>
        <v>1</v>
      </c>
      <c r="E117">
        <f t="shared" si="8"/>
        <v>2</v>
      </c>
      <c r="F117" t="str">
        <f>_xlfn.LET(_xlpm.count, _xlfn.XLOOKUP(B117,'CL.SOL5--20251227'!I:I,'CL.SOL5--20251227'!L:L), IF(_xlpm.count=E117,"-", _xlpm.count))</f>
        <v>-</v>
      </c>
      <c r="G117" t="str">
        <f t="shared" si="9"/>
        <v>NI-22101-S1PL-Rev0-001</v>
      </c>
      <c r="H117" t="str">
        <f>_xlfn.LET(_xlpm.rev, _xlfn.XLOOKUP(B117,'CL.SOL5--20251227'!I:I,'CL.SOL5--20251227'!K:K), IF(_xlpm.rev=C117, "-", _xlpm.rev))</f>
        <v>-</v>
      </c>
      <c r="I117">
        <v>116</v>
      </c>
      <c r="J117" t="str">
        <f>_xlfn.XLOOKUP(B117,'CL.SOL5--20251227'!I:I,'CL.SOL5--20251227'!H:H)</f>
        <v>NI-22101-1"-S1PL</v>
      </c>
    </row>
    <row r="118" spans="1:10" hidden="1">
      <c r="A118" t="s">
        <v>495</v>
      </c>
      <c r="B118" t="str">
        <f t="shared" si="5"/>
        <v>NI-22101</v>
      </c>
      <c r="C118" t="str">
        <f t="shared" si="6"/>
        <v>0</v>
      </c>
      <c r="D118">
        <f t="shared" si="7"/>
        <v>2</v>
      </c>
      <c r="E118">
        <f t="shared" si="8"/>
        <v>2</v>
      </c>
      <c r="F118" t="str">
        <f>_xlfn.LET(_xlpm.count, _xlfn.XLOOKUP(B118,'CL.SOL5--20251227'!I:I,'CL.SOL5--20251227'!L:L), IF(_xlpm.count=E118,"-", _xlpm.count))</f>
        <v>-</v>
      </c>
      <c r="G118" t="str">
        <f t="shared" si="9"/>
        <v>NI-22101-S1PL-Rev0-002</v>
      </c>
      <c r="H118" t="str">
        <f>_xlfn.LET(_xlpm.rev, _xlfn.XLOOKUP(B118,'CL.SOL5--20251227'!I:I,'CL.SOL5--20251227'!K:K), IF(_xlpm.rev=C118, "-", _xlpm.rev))</f>
        <v>-</v>
      </c>
      <c r="I118">
        <v>117</v>
      </c>
      <c r="J118" t="str">
        <f>_xlfn.XLOOKUP(B118,'CL.SOL5--20251227'!I:I,'CL.SOL5--20251227'!H:H)</f>
        <v>NI-22101-1"-S1PL</v>
      </c>
    </row>
    <row r="119" spans="1:10" hidden="1">
      <c r="A119" t="s">
        <v>496</v>
      </c>
      <c r="B119" t="str">
        <f t="shared" si="5"/>
        <v>NI-22311</v>
      </c>
      <c r="C119" t="str">
        <f t="shared" si="6"/>
        <v>0</v>
      </c>
      <c r="D119">
        <f t="shared" si="7"/>
        <v>1</v>
      </c>
      <c r="E119">
        <f t="shared" si="8"/>
        <v>2</v>
      </c>
      <c r="F119" t="str">
        <f>_xlfn.LET(_xlpm.count, _xlfn.XLOOKUP(B119,'CL.SOL5--20251227'!I:I,'CL.SOL5--20251227'!L:L), IF(_xlpm.count=E119,"-", _xlpm.count))</f>
        <v>-</v>
      </c>
      <c r="G119" t="str">
        <f t="shared" si="9"/>
        <v>NI-22311-S1P4-Rev0-001</v>
      </c>
      <c r="H119" t="str">
        <f>_xlfn.LET(_xlpm.rev, _xlfn.XLOOKUP(B119,'CL.SOL5--20251227'!I:I,'CL.SOL5--20251227'!K:K), IF(_xlpm.rev=C119, "-", _xlpm.rev))</f>
        <v>-</v>
      </c>
      <c r="I119">
        <v>118</v>
      </c>
      <c r="J119" t="str">
        <f>_xlfn.XLOOKUP(B119,'CL.SOL5--20251227'!I:I,'CL.SOL5--20251227'!H:H)</f>
        <v>NI-22311-3/4"-S1P4</v>
      </c>
    </row>
    <row r="120" spans="1:10" hidden="1">
      <c r="A120" t="s">
        <v>497</v>
      </c>
      <c r="B120" t="str">
        <f t="shared" si="5"/>
        <v>NI-22311</v>
      </c>
      <c r="C120" t="str">
        <f t="shared" si="6"/>
        <v>0</v>
      </c>
      <c r="D120">
        <f t="shared" si="7"/>
        <v>2</v>
      </c>
      <c r="E120">
        <f t="shared" si="8"/>
        <v>2</v>
      </c>
      <c r="F120" t="str">
        <f>_xlfn.LET(_xlpm.count, _xlfn.XLOOKUP(B120,'CL.SOL5--20251227'!I:I,'CL.SOL5--20251227'!L:L), IF(_xlpm.count=E120,"-", _xlpm.count))</f>
        <v>-</v>
      </c>
      <c r="G120" t="str">
        <f t="shared" si="9"/>
        <v>NI-22311-S1P4-Rev0-002</v>
      </c>
      <c r="H120" t="str">
        <f>_xlfn.LET(_xlpm.rev, _xlfn.XLOOKUP(B120,'CL.SOL5--20251227'!I:I,'CL.SOL5--20251227'!K:K), IF(_xlpm.rev=C120, "-", _xlpm.rev))</f>
        <v>-</v>
      </c>
      <c r="I120">
        <v>119</v>
      </c>
      <c r="J120" t="str">
        <f>_xlfn.XLOOKUP(B120,'CL.SOL5--20251227'!I:I,'CL.SOL5--20251227'!H:H)</f>
        <v>NI-22311-3/4"-S1P4</v>
      </c>
    </row>
    <row r="121" spans="1:10" hidden="1">
      <c r="A121" t="s">
        <v>498</v>
      </c>
      <c r="B121" t="str">
        <f t="shared" si="5"/>
        <v>NI-22361</v>
      </c>
      <c r="C121" t="str">
        <f t="shared" si="6"/>
        <v>0</v>
      </c>
      <c r="D121">
        <f t="shared" si="7"/>
        <v>1</v>
      </c>
      <c r="E121">
        <f t="shared" si="8"/>
        <v>2</v>
      </c>
      <c r="F121" t="str">
        <f>_xlfn.LET(_xlpm.count, _xlfn.XLOOKUP(B121,'CL.SOL5--20251227'!I:I,'CL.SOL5--20251227'!L:L), IF(_xlpm.count=E121,"-", _xlpm.count))</f>
        <v>-</v>
      </c>
      <c r="G121" t="str">
        <f t="shared" si="9"/>
        <v>NI-22361-S1P4-Rev0-001</v>
      </c>
      <c r="H121" t="str">
        <f>_xlfn.LET(_xlpm.rev, _xlfn.XLOOKUP(B121,'CL.SOL5--20251227'!I:I,'CL.SOL5--20251227'!K:K), IF(_xlpm.rev=C121, "-", _xlpm.rev))</f>
        <v>-</v>
      </c>
      <c r="I121">
        <v>120</v>
      </c>
      <c r="J121" t="str">
        <f>_xlfn.XLOOKUP(B121,'CL.SOL5--20251227'!I:I,'CL.SOL5--20251227'!H:H)</f>
        <v>NI-22361-2"-S1P4</v>
      </c>
    </row>
    <row r="122" spans="1:10" hidden="1">
      <c r="A122" t="s">
        <v>499</v>
      </c>
      <c r="B122" t="str">
        <f t="shared" si="5"/>
        <v>NI-22361</v>
      </c>
      <c r="C122" t="str">
        <f t="shared" si="6"/>
        <v>0</v>
      </c>
      <c r="D122">
        <f t="shared" si="7"/>
        <v>2</v>
      </c>
      <c r="E122">
        <f t="shared" si="8"/>
        <v>2</v>
      </c>
      <c r="F122" t="str">
        <f>_xlfn.LET(_xlpm.count, _xlfn.XLOOKUP(B122,'CL.SOL5--20251227'!I:I,'CL.SOL5--20251227'!L:L), IF(_xlpm.count=E122,"-", _xlpm.count))</f>
        <v>-</v>
      </c>
      <c r="G122" t="str">
        <f t="shared" si="9"/>
        <v>NI-22361-S1P4-Rev0-002</v>
      </c>
      <c r="H122" t="str">
        <f>_xlfn.LET(_xlpm.rev, _xlfn.XLOOKUP(B122,'CL.SOL5--20251227'!I:I,'CL.SOL5--20251227'!K:K), IF(_xlpm.rev=C122, "-", _xlpm.rev))</f>
        <v>-</v>
      </c>
      <c r="I122">
        <v>121</v>
      </c>
      <c r="J122" t="str">
        <f>_xlfn.XLOOKUP(B122,'CL.SOL5--20251227'!I:I,'CL.SOL5--20251227'!H:H)</f>
        <v>NI-22361-2"-S1P4</v>
      </c>
    </row>
    <row r="123" spans="1:10" hidden="1">
      <c r="A123" t="s">
        <v>500</v>
      </c>
      <c r="B123" t="str">
        <f t="shared" si="5"/>
        <v>NI-22362</v>
      </c>
      <c r="C123" t="str">
        <f t="shared" si="6"/>
        <v>0</v>
      </c>
      <c r="D123">
        <f t="shared" si="7"/>
        <v>1</v>
      </c>
      <c r="E123">
        <f t="shared" si="8"/>
        <v>3</v>
      </c>
      <c r="F123" t="str">
        <f>_xlfn.LET(_xlpm.count, _xlfn.XLOOKUP(B123,'CL.SOL5--20251227'!I:I,'CL.SOL5--20251227'!L:L), IF(_xlpm.count=E123,"-", _xlpm.count))</f>
        <v>-</v>
      </c>
      <c r="G123" t="str">
        <f t="shared" si="9"/>
        <v>NI-22362-S1P4-Rev0-001</v>
      </c>
      <c r="H123" t="str">
        <f>_xlfn.LET(_xlpm.rev, _xlfn.XLOOKUP(B123,'CL.SOL5--20251227'!I:I,'CL.SOL5--20251227'!K:K), IF(_xlpm.rev=C123, "-", _xlpm.rev))</f>
        <v>-</v>
      </c>
      <c r="I123">
        <v>122</v>
      </c>
      <c r="J123" t="str">
        <f>_xlfn.XLOOKUP(B123,'CL.SOL5--20251227'!I:I,'CL.SOL5--20251227'!H:H)</f>
        <v>NI-22362-1.1/2"-S1P4</v>
      </c>
    </row>
    <row r="124" spans="1:10" hidden="1">
      <c r="A124" t="s">
        <v>501</v>
      </c>
      <c r="B124" t="str">
        <f t="shared" si="5"/>
        <v>NI-22362</v>
      </c>
      <c r="C124" t="str">
        <f t="shared" si="6"/>
        <v>0</v>
      </c>
      <c r="D124">
        <f t="shared" si="7"/>
        <v>2</v>
      </c>
      <c r="E124">
        <f t="shared" si="8"/>
        <v>3</v>
      </c>
      <c r="F124" t="str">
        <f>_xlfn.LET(_xlpm.count, _xlfn.XLOOKUP(B124,'CL.SOL5--20251227'!I:I,'CL.SOL5--20251227'!L:L), IF(_xlpm.count=E124,"-", _xlpm.count))</f>
        <v>-</v>
      </c>
      <c r="G124" t="str">
        <f t="shared" si="9"/>
        <v>NI-22362-S1P4-Rev0-002</v>
      </c>
      <c r="H124" t="str">
        <f>_xlfn.LET(_xlpm.rev, _xlfn.XLOOKUP(B124,'CL.SOL5--20251227'!I:I,'CL.SOL5--20251227'!K:K), IF(_xlpm.rev=C124, "-", _xlpm.rev))</f>
        <v>-</v>
      </c>
      <c r="I124">
        <v>123</v>
      </c>
      <c r="J124" t="str">
        <f>_xlfn.XLOOKUP(B124,'CL.SOL5--20251227'!I:I,'CL.SOL5--20251227'!H:H)</f>
        <v>NI-22362-1.1/2"-S1P4</v>
      </c>
    </row>
    <row r="125" spans="1:10" hidden="1">
      <c r="A125" t="s">
        <v>502</v>
      </c>
      <c r="B125" t="str">
        <f t="shared" si="5"/>
        <v>NI-22362</v>
      </c>
      <c r="C125" t="str">
        <f t="shared" si="6"/>
        <v>0</v>
      </c>
      <c r="D125">
        <f t="shared" si="7"/>
        <v>3</v>
      </c>
      <c r="E125">
        <f t="shared" si="8"/>
        <v>3</v>
      </c>
      <c r="F125" t="str">
        <f>_xlfn.LET(_xlpm.count, _xlfn.XLOOKUP(B125,'CL.SOL5--20251227'!I:I,'CL.SOL5--20251227'!L:L), IF(_xlpm.count=E125,"-", _xlpm.count))</f>
        <v>-</v>
      </c>
      <c r="G125" t="str">
        <f t="shared" si="9"/>
        <v>NI-22362-S1P4-Rev0-003</v>
      </c>
      <c r="H125" t="str">
        <f>_xlfn.LET(_xlpm.rev, _xlfn.XLOOKUP(B125,'CL.SOL5--20251227'!I:I,'CL.SOL5--20251227'!K:K), IF(_xlpm.rev=C125, "-", _xlpm.rev))</f>
        <v>-</v>
      </c>
      <c r="I125">
        <v>124</v>
      </c>
      <c r="J125" t="str">
        <f>_xlfn.XLOOKUP(B125,'CL.SOL5--20251227'!I:I,'CL.SOL5--20251227'!H:H)</f>
        <v>NI-22362-1.1/2"-S1P4</v>
      </c>
    </row>
    <row r="126" spans="1:10" hidden="1">
      <c r="A126" t="s">
        <v>503</v>
      </c>
      <c r="B126" t="str">
        <f t="shared" si="5"/>
        <v>NI-22364</v>
      </c>
      <c r="C126" t="str">
        <f t="shared" si="6"/>
        <v>0</v>
      </c>
      <c r="D126">
        <f t="shared" si="7"/>
        <v>1</v>
      </c>
      <c r="E126">
        <f t="shared" si="8"/>
        <v>1</v>
      </c>
      <c r="F126" t="str">
        <f>_xlfn.LET(_xlpm.count, _xlfn.XLOOKUP(B126,'CL.SOL5--20251227'!I:I,'CL.SOL5--20251227'!L:L), IF(_xlpm.count=E126,"-", _xlpm.count))</f>
        <v>-</v>
      </c>
      <c r="G126" t="str">
        <f t="shared" si="9"/>
        <v>NI-22364-S1P4-Rev0-001</v>
      </c>
      <c r="H126" t="str">
        <f>_xlfn.LET(_xlpm.rev, _xlfn.XLOOKUP(B126,'CL.SOL5--20251227'!I:I,'CL.SOL5--20251227'!K:K), IF(_xlpm.rev=C126, "-", _xlpm.rev))</f>
        <v>-</v>
      </c>
      <c r="I126">
        <v>125</v>
      </c>
      <c r="J126" t="str">
        <f>_xlfn.XLOOKUP(B126,'CL.SOL5--20251227'!I:I,'CL.SOL5--20251227'!H:H)</f>
        <v>NI-22364-1"-S1P4</v>
      </c>
    </row>
    <row r="127" spans="1:10" hidden="1">
      <c r="A127" t="s">
        <v>504</v>
      </c>
      <c r="B127" t="str">
        <f t="shared" si="5"/>
        <v>NI-22365</v>
      </c>
      <c r="C127" t="str">
        <f t="shared" si="6"/>
        <v>0</v>
      </c>
      <c r="D127">
        <f t="shared" si="7"/>
        <v>1</v>
      </c>
      <c r="E127">
        <f t="shared" si="8"/>
        <v>1</v>
      </c>
      <c r="F127" t="str">
        <f>_xlfn.LET(_xlpm.count, _xlfn.XLOOKUP(B127,'CL.SOL5--20251227'!I:I,'CL.SOL5--20251227'!L:L), IF(_xlpm.count=E127,"-", _xlpm.count))</f>
        <v>-</v>
      </c>
      <c r="G127" t="str">
        <f t="shared" si="9"/>
        <v>NI-22365-S1P4-Rev0-001</v>
      </c>
      <c r="H127" t="str">
        <f>_xlfn.LET(_xlpm.rev, _xlfn.XLOOKUP(B127,'CL.SOL5--20251227'!I:I,'CL.SOL5--20251227'!K:K), IF(_xlpm.rev=C127, "-", _xlpm.rev))</f>
        <v>-</v>
      </c>
      <c r="I127">
        <v>126</v>
      </c>
      <c r="J127" t="str">
        <f>_xlfn.XLOOKUP(B127,'CL.SOL5--20251227'!I:I,'CL.SOL5--20251227'!H:H)</f>
        <v>NI-22365-1"-S1P4</v>
      </c>
    </row>
    <row r="128" spans="1:10" hidden="1">
      <c r="A128" t="s">
        <v>505</v>
      </c>
      <c r="B128" t="str">
        <f t="shared" si="5"/>
        <v>NI-22366</v>
      </c>
      <c r="C128" t="str">
        <f t="shared" si="6"/>
        <v>0</v>
      </c>
      <c r="D128">
        <f t="shared" si="7"/>
        <v>1</v>
      </c>
      <c r="E128">
        <f t="shared" si="8"/>
        <v>1</v>
      </c>
      <c r="F128" t="str">
        <f>_xlfn.LET(_xlpm.count, _xlfn.XLOOKUP(B128,'CL.SOL5--20251227'!I:I,'CL.SOL5--20251227'!L:L), IF(_xlpm.count=E128,"-", _xlpm.count))</f>
        <v>-</v>
      </c>
      <c r="G128" t="str">
        <f t="shared" si="9"/>
        <v>NI-22366-S1P4-Rev0-001</v>
      </c>
      <c r="H128" t="str">
        <f>_xlfn.LET(_xlpm.rev, _xlfn.XLOOKUP(B128,'CL.SOL5--20251227'!I:I,'CL.SOL5--20251227'!K:K), IF(_xlpm.rev=C128, "-", _xlpm.rev))</f>
        <v>-</v>
      </c>
      <c r="I128">
        <v>127</v>
      </c>
      <c r="J128" t="str">
        <f>_xlfn.XLOOKUP(B128,'CL.SOL5--20251227'!I:I,'CL.SOL5--20251227'!H:H)</f>
        <v>NI-22366-1"-S1P4</v>
      </c>
    </row>
    <row r="129" spans="1:10" hidden="1">
      <c r="A129" t="s">
        <v>506</v>
      </c>
      <c r="B129" t="str">
        <f t="shared" si="5"/>
        <v>NI-22367</v>
      </c>
      <c r="C129" t="str">
        <f t="shared" si="6"/>
        <v>0</v>
      </c>
      <c r="D129">
        <f t="shared" si="7"/>
        <v>1</v>
      </c>
      <c r="E129">
        <f t="shared" si="8"/>
        <v>1</v>
      </c>
      <c r="F129" t="str">
        <f>_xlfn.LET(_xlpm.count, _xlfn.XLOOKUP(B129,'CL.SOL5--20251227'!I:I,'CL.SOL5--20251227'!L:L), IF(_xlpm.count=E129,"-", _xlpm.count))</f>
        <v>-</v>
      </c>
      <c r="G129" t="str">
        <f t="shared" si="9"/>
        <v>NI-22367-S1P4-Rev0-001</v>
      </c>
      <c r="H129" t="str">
        <f>_xlfn.LET(_xlpm.rev, _xlfn.XLOOKUP(B129,'CL.SOL5--20251227'!I:I,'CL.SOL5--20251227'!K:K), IF(_xlpm.rev=C129, "-", _xlpm.rev))</f>
        <v>-</v>
      </c>
      <c r="I129">
        <v>128</v>
      </c>
      <c r="J129" t="str">
        <f>_xlfn.XLOOKUP(B129,'CL.SOL5--20251227'!I:I,'CL.SOL5--20251227'!H:H)</f>
        <v>NI-22367-1"-S1P4</v>
      </c>
    </row>
    <row r="130" spans="1:10" hidden="1">
      <c r="A130" t="s">
        <v>507</v>
      </c>
      <c r="B130" t="str">
        <f t="shared" si="5"/>
        <v>NI-22368</v>
      </c>
      <c r="C130" t="str">
        <f t="shared" si="6"/>
        <v>0</v>
      </c>
      <c r="D130">
        <f t="shared" si="7"/>
        <v>1</v>
      </c>
      <c r="E130">
        <f t="shared" si="8"/>
        <v>1</v>
      </c>
      <c r="F130" t="str">
        <f>_xlfn.LET(_xlpm.count, _xlfn.XLOOKUP(B130,'CL.SOL5--20251227'!I:I,'CL.SOL5--20251227'!L:L), IF(_xlpm.count=E130,"-", _xlpm.count))</f>
        <v>-</v>
      </c>
      <c r="G130" t="str">
        <f t="shared" si="9"/>
        <v>NI-22368-S1P4-Rev0-001</v>
      </c>
      <c r="H130" t="str">
        <f>_xlfn.LET(_xlpm.rev, _xlfn.XLOOKUP(B130,'CL.SOL5--20251227'!I:I,'CL.SOL5--20251227'!K:K), IF(_xlpm.rev=C130, "-", _xlpm.rev))</f>
        <v>-</v>
      </c>
      <c r="I130">
        <v>129</v>
      </c>
      <c r="J130" t="str">
        <f>_xlfn.XLOOKUP(B130,'CL.SOL5--20251227'!I:I,'CL.SOL5--20251227'!H:H)</f>
        <v>NI-22368-1"-S1P4</v>
      </c>
    </row>
    <row r="131" spans="1:10" hidden="1">
      <c r="A131" t="s">
        <v>508</v>
      </c>
      <c r="B131" t="str">
        <f t="shared" ref="B131:B194" si="10">_xlfn.LET(_xlpm.pos,IF(ISNUMBER(FIND("TRIM",A131)), 3, 2), _xlfn.TEXTBEFORE(A131, "-", _xlpm.pos))</f>
        <v>NI-22369</v>
      </c>
      <c r="C131" t="str">
        <f t="shared" ref="C131:C194" si="11">_xlfn.TEXTBEFORE(_xlfn.TEXTAFTER(A131,"-Rev"), "-")</f>
        <v>0</v>
      </c>
      <c r="D131">
        <f t="shared" ref="D131:D194" si="12">VALUE(_xlfn.TEXTBEFORE(_xlfn.TEXTAFTER(A131, "-", -1), "."))</f>
        <v>1</v>
      </c>
      <c r="E131">
        <f t="shared" ref="E131:E194" si="13">_xlfn.MAXIFS(D:D,B:B,B131)</f>
        <v>1</v>
      </c>
      <c r="F131" t="str">
        <f>_xlfn.LET(_xlpm.count, _xlfn.XLOOKUP(B131,'CL.SOL5--20251227'!I:I,'CL.SOL5--20251227'!L:L), IF(_xlpm.count=E131,"-", _xlpm.count))</f>
        <v>-</v>
      </c>
      <c r="G131" t="str">
        <f t="shared" ref="G131:G194" si="14">_xlfn.TEXTBEFORE(A131,".")</f>
        <v>NI-22369-S1P4-Rev0-001</v>
      </c>
      <c r="H131" t="str">
        <f>_xlfn.LET(_xlpm.rev, _xlfn.XLOOKUP(B131,'CL.SOL5--20251227'!I:I,'CL.SOL5--20251227'!K:K), IF(_xlpm.rev=C131, "-", _xlpm.rev))</f>
        <v>-</v>
      </c>
      <c r="I131">
        <v>130</v>
      </c>
      <c r="J131" t="str">
        <f>_xlfn.XLOOKUP(B131,'CL.SOL5--20251227'!I:I,'CL.SOL5--20251227'!H:H)</f>
        <v>NI-22369-1"-S1P4</v>
      </c>
    </row>
    <row r="132" spans="1:10" hidden="1">
      <c r="A132" t="s">
        <v>509</v>
      </c>
      <c r="B132" t="str">
        <f t="shared" si="10"/>
        <v>NI-22370</v>
      </c>
      <c r="C132" t="str">
        <f t="shared" si="11"/>
        <v>0</v>
      </c>
      <c r="D132">
        <f t="shared" si="12"/>
        <v>1</v>
      </c>
      <c r="E132">
        <f t="shared" si="13"/>
        <v>1</v>
      </c>
      <c r="F132" t="str">
        <f>_xlfn.LET(_xlpm.count, _xlfn.XLOOKUP(B132,'CL.SOL5--20251227'!I:I,'CL.SOL5--20251227'!L:L), IF(_xlpm.count=E132,"-", _xlpm.count))</f>
        <v>-</v>
      </c>
      <c r="G132" t="str">
        <f t="shared" si="14"/>
        <v>NI-22370-S1P4-Rev0-001</v>
      </c>
      <c r="H132" t="str">
        <f>_xlfn.LET(_xlpm.rev, _xlfn.XLOOKUP(B132,'CL.SOL5--20251227'!I:I,'CL.SOL5--20251227'!K:K), IF(_xlpm.rev=C132, "-", _xlpm.rev))</f>
        <v>-</v>
      </c>
      <c r="I132">
        <v>131</v>
      </c>
      <c r="J132" t="str">
        <f>_xlfn.XLOOKUP(B132,'CL.SOL5--20251227'!I:I,'CL.SOL5--20251227'!H:H)</f>
        <v>NI-22370-1"-S1P4</v>
      </c>
    </row>
    <row r="133" spans="1:10" hidden="1">
      <c r="A133" t="s">
        <v>510</v>
      </c>
      <c r="B133" t="str">
        <f t="shared" si="10"/>
        <v>P-22101</v>
      </c>
      <c r="C133" t="str">
        <f t="shared" si="11"/>
        <v>0</v>
      </c>
      <c r="D133">
        <f t="shared" si="12"/>
        <v>1</v>
      </c>
      <c r="E133">
        <f t="shared" si="13"/>
        <v>7</v>
      </c>
      <c r="F133" t="str">
        <f>_xlfn.LET(_xlpm.count, _xlfn.XLOOKUP(B133,'CL.SOL5--20251227'!I:I,'CL.SOL5--20251227'!L:L), IF(_xlpm.count=E133,"-", _xlpm.count))</f>
        <v>-</v>
      </c>
      <c r="G133" t="str">
        <f t="shared" si="14"/>
        <v>P-22101-S1PL-Rev0-001</v>
      </c>
      <c r="H133" t="str">
        <f>_xlfn.LET(_xlpm.rev, _xlfn.XLOOKUP(B133,'CL.SOL5--20251227'!I:I,'CL.SOL5--20251227'!K:K), IF(_xlpm.rev=C133, "-", _xlpm.rev))</f>
        <v>-</v>
      </c>
      <c r="I133">
        <v>132</v>
      </c>
      <c r="J133" t="str">
        <f>_xlfn.XLOOKUP(B133,'CL.SOL5--20251227'!I:I,'CL.SOL5--20251227'!H:H)</f>
        <v>P-22101-1"-S1PL</v>
      </c>
    </row>
    <row r="134" spans="1:10" hidden="1">
      <c r="A134" t="s">
        <v>511</v>
      </c>
      <c r="B134" t="str">
        <f t="shared" si="10"/>
        <v>P-22101</v>
      </c>
      <c r="C134" t="str">
        <f t="shared" si="11"/>
        <v>0</v>
      </c>
      <c r="D134">
        <f t="shared" si="12"/>
        <v>2</v>
      </c>
      <c r="E134">
        <f t="shared" si="13"/>
        <v>7</v>
      </c>
      <c r="F134" t="str">
        <f>_xlfn.LET(_xlpm.count, _xlfn.XLOOKUP(B134,'CL.SOL5--20251227'!I:I,'CL.SOL5--20251227'!L:L), IF(_xlpm.count=E134,"-", _xlpm.count))</f>
        <v>-</v>
      </c>
      <c r="G134" t="str">
        <f t="shared" si="14"/>
        <v>P-22101-S1PL-Rev0-002</v>
      </c>
      <c r="H134" t="str">
        <f>_xlfn.LET(_xlpm.rev, _xlfn.XLOOKUP(B134,'CL.SOL5--20251227'!I:I,'CL.SOL5--20251227'!K:K), IF(_xlpm.rev=C134, "-", _xlpm.rev))</f>
        <v>-</v>
      </c>
      <c r="I134">
        <v>133</v>
      </c>
      <c r="J134" t="str">
        <f>_xlfn.XLOOKUP(B134,'CL.SOL5--20251227'!I:I,'CL.SOL5--20251227'!H:H)</f>
        <v>P-22101-1"-S1PL</v>
      </c>
    </row>
    <row r="135" spans="1:10" hidden="1">
      <c r="A135" t="s">
        <v>512</v>
      </c>
      <c r="B135" t="str">
        <f t="shared" si="10"/>
        <v>P-22101</v>
      </c>
      <c r="C135" t="str">
        <f t="shared" si="11"/>
        <v>0</v>
      </c>
      <c r="D135">
        <f t="shared" si="12"/>
        <v>3</v>
      </c>
      <c r="E135">
        <f t="shared" si="13"/>
        <v>7</v>
      </c>
      <c r="F135" t="str">
        <f>_xlfn.LET(_xlpm.count, _xlfn.XLOOKUP(B135,'CL.SOL5--20251227'!I:I,'CL.SOL5--20251227'!L:L), IF(_xlpm.count=E135,"-", _xlpm.count))</f>
        <v>-</v>
      </c>
      <c r="G135" t="str">
        <f t="shared" si="14"/>
        <v>P-22101-S1PL-Rev0-003</v>
      </c>
      <c r="H135" t="str">
        <f>_xlfn.LET(_xlpm.rev, _xlfn.XLOOKUP(B135,'CL.SOL5--20251227'!I:I,'CL.SOL5--20251227'!K:K), IF(_xlpm.rev=C135, "-", _xlpm.rev))</f>
        <v>-</v>
      </c>
      <c r="I135">
        <v>134</v>
      </c>
      <c r="J135" t="str">
        <f>_xlfn.XLOOKUP(B135,'CL.SOL5--20251227'!I:I,'CL.SOL5--20251227'!H:H)</f>
        <v>P-22101-1"-S1PL</v>
      </c>
    </row>
    <row r="136" spans="1:10" hidden="1">
      <c r="A136" t="s">
        <v>513</v>
      </c>
      <c r="B136" t="str">
        <f t="shared" si="10"/>
        <v>P-22101</v>
      </c>
      <c r="C136" t="str">
        <f t="shared" si="11"/>
        <v>0</v>
      </c>
      <c r="D136">
        <f t="shared" si="12"/>
        <v>4</v>
      </c>
      <c r="E136">
        <f t="shared" si="13"/>
        <v>7</v>
      </c>
      <c r="F136" t="str">
        <f>_xlfn.LET(_xlpm.count, _xlfn.XLOOKUP(B136,'CL.SOL5--20251227'!I:I,'CL.SOL5--20251227'!L:L), IF(_xlpm.count=E136,"-", _xlpm.count))</f>
        <v>-</v>
      </c>
      <c r="G136" t="str">
        <f t="shared" si="14"/>
        <v>P-22101-S1PL-Rev0-004</v>
      </c>
      <c r="H136" t="str">
        <f>_xlfn.LET(_xlpm.rev, _xlfn.XLOOKUP(B136,'CL.SOL5--20251227'!I:I,'CL.SOL5--20251227'!K:K), IF(_xlpm.rev=C136, "-", _xlpm.rev))</f>
        <v>-</v>
      </c>
      <c r="I136">
        <v>135</v>
      </c>
      <c r="J136" t="str">
        <f>_xlfn.XLOOKUP(B136,'CL.SOL5--20251227'!I:I,'CL.SOL5--20251227'!H:H)</f>
        <v>P-22101-1"-S1PL</v>
      </c>
    </row>
    <row r="137" spans="1:10" hidden="1">
      <c r="A137" t="s">
        <v>514</v>
      </c>
      <c r="B137" t="str">
        <f t="shared" si="10"/>
        <v>P-22101</v>
      </c>
      <c r="C137" t="str">
        <f t="shared" si="11"/>
        <v>0</v>
      </c>
      <c r="D137">
        <f t="shared" si="12"/>
        <v>5</v>
      </c>
      <c r="E137">
        <f t="shared" si="13"/>
        <v>7</v>
      </c>
      <c r="F137" t="str">
        <f>_xlfn.LET(_xlpm.count, _xlfn.XLOOKUP(B137,'CL.SOL5--20251227'!I:I,'CL.SOL5--20251227'!L:L), IF(_xlpm.count=E137,"-", _xlpm.count))</f>
        <v>-</v>
      </c>
      <c r="G137" t="str">
        <f t="shared" si="14"/>
        <v>P-22101-S1PL-Rev0-005</v>
      </c>
      <c r="H137" t="str">
        <f>_xlfn.LET(_xlpm.rev, _xlfn.XLOOKUP(B137,'CL.SOL5--20251227'!I:I,'CL.SOL5--20251227'!K:K), IF(_xlpm.rev=C137, "-", _xlpm.rev))</f>
        <v>-</v>
      </c>
      <c r="I137">
        <v>136</v>
      </c>
      <c r="J137" t="str">
        <f>_xlfn.XLOOKUP(B137,'CL.SOL5--20251227'!I:I,'CL.SOL5--20251227'!H:H)</f>
        <v>P-22101-1"-S1PL</v>
      </c>
    </row>
    <row r="138" spans="1:10" hidden="1">
      <c r="A138" t="s">
        <v>515</v>
      </c>
      <c r="B138" t="str">
        <f t="shared" si="10"/>
        <v>P-22101</v>
      </c>
      <c r="C138" t="str">
        <f t="shared" si="11"/>
        <v>0</v>
      </c>
      <c r="D138">
        <f t="shared" si="12"/>
        <v>6</v>
      </c>
      <c r="E138">
        <f t="shared" si="13"/>
        <v>7</v>
      </c>
      <c r="F138" t="str">
        <f>_xlfn.LET(_xlpm.count, _xlfn.XLOOKUP(B138,'CL.SOL5--20251227'!I:I,'CL.SOL5--20251227'!L:L), IF(_xlpm.count=E138,"-", _xlpm.count))</f>
        <v>-</v>
      </c>
      <c r="G138" t="str">
        <f t="shared" si="14"/>
        <v>P-22101-S1PL-Rev0-006</v>
      </c>
      <c r="H138" t="str">
        <f>_xlfn.LET(_xlpm.rev, _xlfn.XLOOKUP(B138,'CL.SOL5--20251227'!I:I,'CL.SOL5--20251227'!K:K), IF(_xlpm.rev=C138, "-", _xlpm.rev))</f>
        <v>-</v>
      </c>
      <c r="I138">
        <v>137</v>
      </c>
      <c r="J138" t="str">
        <f>_xlfn.XLOOKUP(B138,'CL.SOL5--20251227'!I:I,'CL.SOL5--20251227'!H:H)</f>
        <v>P-22101-1"-S1PL</v>
      </c>
    </row>
    <row r="139" spans="1:10" hidden="1">
      <c r="A139" t="s">
        <v>516</v>
      </c>
      <c r="B139" t="str">
        <f t="shared" si="10"/>
        <v>P-22101</v>
      </c>
      <c r="C139" t="str">
        <f t="shared" si="11"/>
        <v>0</v>
      </c>
      <c r="D139">
        <f t="shared" si="12"/>
        <v>7</v>
      </c>
      <c r="E139">
        <f t="shared" si="13"/>
        <v>7</v>
      </c>
      <c r="F139" t="str">
        <f>_xlfn.LET(_xlpm.count, _xlfn.XLOOKUP(B139,'CL.SOL5--20251227'!I:I,'CL.SOL5--20251227'!L:L), IF(_xlpm.count=E139,"-", _xlpm.count))</f>
        <v>-</v>
      </c>
      <c r="G139" t="str">
        <f t="shared" si="14"/>
        <v>P-22101-S1PL-Rev0-007</v>
      </c>
      <c r="H139" t="str">
        <f>_xlfn.LET(_xlpm.rev, _xlfn.XLOOKUP(B139,'CL.SOL5--20251227'!I:I,'CL.SOL5--20251227'!K:K), IF(_xlpm.rev=C139, "-", _xlpm.rev))</f>
        <v>-</v>
      </c>
      <c r="I139">
        <v>138</v>
      </c>
      <c r="J139" t="str">
        <f>_xlfn.XLOOKUP(B139,'CL.SOL5--20251227'!I:I,'CL.SOL5--20251227'!H:H)</f>
        <v>P-22101-1"-S1PL</v>
      </c>
    </row>
    <row r="140" spans="1:10" hidden="1">
      <c r="A140" t="s">
        <v>517</v>
      </c>
      <c r="B140" t="str">
        <f t="shared" si="10"/>
        <v>P-22102</v>
      </c>
      <c r="C140" t="str">
        <f t="shared" si="11"/>
        <v>0</v>
      </c>
      <c r="D140">
        <f t="shared" si="12"/>
        <v>1</v>
      </c>
      <c r="E140">
        <f t="shared" si="13"/>
        <v>1</v>
      </c>
      <c r="F140" t="str">
        <f>_xlfn.LET(_xlpm.count, _xlfn.XLOOKUP(B140,'CL.SOL5--20251227'!I:I,'CL.SOL5--20251227'!L:L), IF(_xlpm.count=E140,"-", _xlpm.count))</f>
        <v>-</v>
      </c>
      <c r="G140" t="str">
        <f t="shared" si="14"/>
        <v>P-22102-S1PL-Rev0-001</v>
      </c>
      <c r="H140" t="str">
        <f>_xlfn.LET(_xlpm.rev, _xlfn.XLOOKUP(B140,'CL.SOL5--20251227'!I:I,'CL.SOL5--20251227'!K:K), IF(_xlpm.rev=C140, "-", _xlpm.rev))</f>
        <v>-</v>
      </c>
      <c r="I140">
        <v>139</v>
      </c>
      <c r="J140" t="str">
        <f>_xlfn.XLOOKUP(B140,'CL.SOL5--20251227'!I:I,'CL.SOL5--20251227'!H:H)</f>
        <v>P-22102-3"-S1PL-HC1</v>
      </c>
    </row>
    <row r="141" spans="1:10" hidden="1">
      <c r="A141" t="s">
        <v>518</v>
      </c>
      <c r="B141" t="str">
        <f t="shared" si="10"/>
        <v>P-22103</v>
      </c>
      <c r="C141" t="str">
        <f t="shared" si="11"/>
        <v>0</v>
      </c>
      <c r="D141">
        <f t="shared" si="12"/>
        <v>1</v>
      </c>
      <c r="E141">
        <f t="shared" si="13"/>
        <v>1</v>
      </c>
      <c r="F141" t="str">
        <f>_xlfn.LET(_xlpm.count, _xlfn.XLOOKUP(B141,'CL.SOL5--20251227'!I:I,'CL.SOL5--20251227'!L:L), IF(_xlpm.count=E141,"-", _xlpm.count))</f>
        <v>-</v>
      </c>
      <c r="G141" t="str">
        <f t="shared" si="14"/>
        <v>P-22103-S1PL-Rev0-001</v>
      </c>
      <c r="H141" t="str">
        <f>_xlfn.LET(_xlpm.rev, _xlfn.XLOOKUP(B141,'CL.SOL5--20251227'!I:I,'CL.SOL5--20251227'!K:K), IF(_xlpm.rev=C141, "-", _xlpm.rev))</f>
        <v>-</v>
      </c>
      <c r="I141">
        <v>140</v>
      </c>
      <c r="J141" t="str">
        <f>_xlfn.XLOOKUP(B141,'CL.SOL5--20251227'!I:I,'CL.SOL5--20251227'!H:H)</f>
        <v>P-22103-8"-S1PL-HC1</v>
      </c>
    </row>
    <row r="142" spans="1:10" hidden="1">
      <c r="A142" t="s">
        <v>519</v>
      </c>
      <c r="B142" t="str">
        <f t="shared" si="10"/>
        <v>P-22104</v>
      </c>
      <c r="C142" t="str">
        <f t="shared" si="11"/>
        <v>0</v>
      </c>
      <c r="D142">
        <f t="shared" si="12"/>
        <v>1</v>
      </c>
      <c r="E142">
        <f t="shared" si="13"/>
        <v>2</v>
      </c>
      <c r="F142" t="str">
        <f>_xlfn.LET(_xlpm.count, _xlfn.XLOOKUP(B142,'CL.SOL5--20251227'!I:I,'CL.SOL5--20251227'!L:L), IF(_xlpm.count=E142,"-", _xlpm.count))</f>
        <v>-</v>
      </c>
      <c r="G142" t="str">
        <f t="shared" si="14"/>
        <v>P-22104-S1PL-Rev0-001</v>
      </c>
      <c r="H142" t="str">
        <f>_xlfn.LET(_xlpm.rev, _xlfn.XLOOKUP(B142,'CL.SOL5--20251227'!I:I,'CL.SOL5--20251227'!K:K), IF(_xlpm.rev=C142, "-", _xlpm.rev))</f>
        <v>-</v>
      </c>
      <c r="I142">
        <v>141</v>
      </c>
      <c r="J142" t="str">
        <f>_xlfn.XLOOKUP(B142,'CL.SOL5--20251227'!I:I,'CL.SOL5--20251227'!H:H)</f>
        <v>P-22104-2"-S1PL-HC1</v>
      </c>
    </row>
    <row r="143" spans="1:10" hidden="1">
      <c r="A143" t="s">
        <v>520</v>
      </c>
      <c r="B143" t="str">
        <f t="shared" si="10"/>
        <v>P-22104</v>
      </c>
      <c r="C143" t="str">
        <f t="shared" si="11"/>
        <v>0</v>
      </c>
      <c r="D143">
        <f t="shared" si="12"/>
        <v>2</v>
      </c>
      <c r="E143">
        <f t="shared" si="13"/>
        <v>2</v>
      </c>
      <c r="F143" t="str">
        <f>_xlfn.LET(_xlpm.count, _xlfn.XLOOKUP(B143,'CL.SOL5--20251227'!I:I,'CL.SOL5--20251227'!L:L), IF(_xlpm.count=E143,"-", _xlpm.count))</f>
        <v>-</v>
      </c>
      <c r="G143" t="str">
        <f t="shared" si="14"/>
        <v>P-22104-S1PL-Rev0-002</v>
      </c>
      <c r="H143" t="str">
        <f>_xlfn.LET(_xlpm.rev, _xlfn.XLOOKUP(B143,'CL.SOL5--20251227'!I:I,'CL.SOL5--20251227'!K:K), IF(_xlpm.rev=C143, "-", _xlpm.rev))</f>
        <v>-</v>
      </c>
      <c r="I143">
        <v>142</v>
      </c>
      <c r="J143" t="str">
        <f>_xlfn.XLOOKUP(B143,'CL.SOL5--20251227'!I:I,'CL.SOL5--20251227'!H:H)</f>
        <v>P-22104-2"-S1PL-HC1</v>
      </c>
    </row>
    <row r="144" spans="1:10" hidden="1">
      <c r="A144" t="s">
        <v>521</v>
      </c>
      <c r="B144" t="str">
        <f t="shared" si="10"/>
        <v>P-22105</v>
      </c>
      <c r="C144" t="str">
        <f t="shared" si="11"/>
        <v>0</v>
      </c>
      <c r="D144">
        <f t="shared" si="12"/>
        <v>1</v>
      </c>
      <c r="E144">
        <f t="shared" si="13"/>
        <v>1</v>
      </c>
      <c r="F144" t="str">
        <f>_xlfn.LET(_xlpm.count, _xlfn.XLOOKUP(B144,'CL.SOL5--20251227'!I:I,'CL.SOL5--20251227'!L:L), IF(_xlpm.count=E144,"-", _xlpm.count))</f>
        <v>-</v>
      </c>
      <c r="G144" t="str">
        <f t="shared" si="14"/>
        <v>P-22105-S1PL-Rev0-001</v>
      </c>
      <c r="H144" t="str">
        <f>_xlfn.LET(_xlpm.rev, _xlfn.XLOOKUP(B144,'CL.SOL5--20251227'!I:I,'CL.SOL5--20251227'!K:K), IF(_xlpm.rev=C144, "-", _xlpm.rev))</f>
        <v>-</v>
      </c>
      <c r="I144">
        <v>143</v>
      </c>
      <c r="J144" t="str">
        <f>_xlfn.XLOOKUP(B144,'CL.SOL5--20251227'!I:I,'CL.SOL5--20251227'!H:H)</f>
        <v>P-22105-2"-S1PL-HC1</v>
      </c>
    </row>
    <row r="145" spans="1:10" hidden="1">
      <c r="A145" t="s">
        <v>522</v>
      </c>
      <c r="B145" t="str">
        <f t="shared" si="10"/>
        <v>P-22106</v>
      </c>
      <c r="C145" t="str">
        <f t="shared" si="11"/>
        <v>0</v>
      </c>
      <c r="D145">
        <f t="shared" si="12"/>
        <v>1</v>
      </c>
      <c r="E145">
        <f t="shared" si="13"/>
        <v>1</v>
      </c>
      <c r="F145" t="str">
        <f>_xlfn.LET(_xlpm.count, _xlfn.XLOOKUP(B145,'CL.SOL5--20251227'!I:I,'CL.SOL5--20251227'!L:L), IF(_xlpm.count=E145,"-", _xlpm.count))</f>
        <v>-</v>
      </c>
      <c r="G145" t="str">
        <f t="shared" si="14"/>
        <v>P-22106-S1PL-Rev0-001</v>
      </c>
      <c r="H145" t="str">
        <f>_xlfn.LET(_xlpm.rev, _xlfn.XLOOKUP(B145,'CL.SOL5--20251227'!I:I,'CL.SOL5--20251227'!K:K), IF(_xlpm.rev=C145, "-", _xlpm.rev))</f>
        <v>-</v>
      </c>
      <c r="I145">
        <v>144</v>
      </c>
      <c r="J145" t="str">
        <f>_xlfn.XLOOKUP(B145,'CL.SOL5--20251227'!I:I,'CL.SOL5--20251227'!H:H)</f>
        <v>P-22106-2"-S1PL-HC1</v>
      </c>
    </row>
    <row r="146" spans="1:10" hidden="1">
      <c r="A146" t="s">
        <v>523</v>
      </c>
      <c r="B146" t="str">
        <f t="shared" si="10"/>
        <v>P-22107</v>
      </c>
      <c r="C146" t="str">
        <f t="shared" si="11"/>
        <v>0</v>
      </c>
      <c r="D146">
        <f t="shared" si="12"/>
        <v>1</v>
      </c>
      <c r="E146">
        <f t="shared" si="13"/>
        <v>5</v>
      </c>
      <c r="F146" t="str">
        <f>_xlfn.LET(_xlpm.count, _xlfn.XLOOKUP(B146,'CL.SOL5--20251227'!I:I,'CL.SOL5--20251227'!L:L), IF(_xlpm.count=E146,"-", _xlpm.count))</f>
        <v>-</v>
      </c>
      <c r="G146" t="str">
        <f t="shared" si="14"/>
        <v>P-22107-S1PL-Rev0-001</v>
      </c>
      <c r="H146" t="str">
        <f>_xlfn.LET(_xlpm.rev, _xlfn.XLOOKUP(B146,'CL.SOL5--20251227'!I:I,'CL.SOL5--20251227'!K:K), IF(_xlpm.rev=C146, "-", _xlpm.rev))</f>
        <v>-</v>
      </c>
      <c r="I146">
        <v>145</v>
      </c>
      <c r="J146" t="str">
        <f>_xlfn.XLOOKUP(B146,'CL.SOL5--20251227'!I:I,'CL.SOL5--20251227'!H:H)</f>
        <v>P-22107-1.1/2"-S1PL-HC1</v>
      </c>
    </row>
    <row r="147" spans="1:10" hidden="1">
      <c r="A147" t="s">
        <v>524</v>
      </c>
      <c r="B147" t="str">
        <f t="shared" si="10"/>
        <v>P-22107</v>
      </c>
      <c r="C147" t="str">
        <f t="shared" si="11"/>
        <v>0</v>
      </c>
      <c r="D147">
        <f t="shared" si="12"/>
        <v>2</v>
      </c>
      <c r="E147">
        <f t="shared" si="13"/>
        <v>5</v>
      </c>
      <c r="F147" t="str">
        <f>_xlfn.LET(_xlpm.count, _xlfn.XLOOKUP(B147,'CL.SOL5--20251227'!I:I,'CL.SOL5--20251227'!L:L), IF(_xlpm.count=E147,"-", _xlpm.count))</f>
        <v>-</v>
      </c>
      <c r="G147" t="str">
        <f t="shared" si="14"/>
        <v>P-22107-S1PL-Rev0-002</v>
      </c>
      <c r="H147" t="str">
        <f>_xlfn.LET(_xlpm.rev, _xlfn.XLOOKUP(B147,'CL.SOL5--20251227'!I:I,'CL.SOL5--20251227'!K:K), IF(_xlpm.rev=C147, "-", _xlpm.rev))</f>
        <v>-</v>
      </c>
      <c r="I147">
        <v>146</v>
      </c>
      <c r="J147" t="str">
        <f>_xlfn.XLOOKUP(B147,'CL.SOL5--20251227'!I:I,'CL.SOL5--20251227'!H:H)</f>
        <v>P-22107-1.1/2"-S1PL-HC1</v>
      </c>
    </row>
    <row r="148" spans="1:10" hidden="1">
      <c r="A148" t="s">
        <v>525</v>
      </c>
      <c r="B148" t="str">
        <f t="shared" si="10"/>
        <v>P-22107</v>
      </c>
      <c r="C148" t="str">
        <f t="shared" si="11"/>
        <v>0</v>
      </c>
      <c r="D148">
        <f t="shared" si="12"/>
        <v>3</v>
      </c>
      <c r="E148">
        <f t="shared" si="13"/>
        <v>5</v>
      </c>
      <c r="F148" t="str">
        <f>_xlfn.LET(_xlpm.count, _xlfn.XLOOKUP(B148,'CL.SOL5--20251227'!I:I,'CL.SOL5--20251227'!L:L), IF(_xlpm.count=E148,"-", _xlpm.count))</f>
        <v>-</v>
      </c>
      <c r="G148" t="str">
        <f t="shared" si="14"/>
        <v>P-22107-S1PL-Rev0-003</v>
      </c>
      <c r="H148" t="str">
        <f>_xlfn.LET(_xlpm.rev, _xlfn.XLOOKUP(B148,'CL.SOL5--20251227'!I:I,'CL.SOL5--20251227'!K:K), IF(_xlpm.rev=C148, "-", _xlpm.rev))</f>
        <v>-</v>
      </c>
      <c r="I148">
        <v>147</v>
      </c>
      <c r="J148" t="str">
        <f>_xlfn.XLOOKUP(B148,'CL.SOL5--20251227'!I:I,'CL.SOL5--20251227'!H:H)</f>
        <v>P-22107-1.1/2"-S1PL-HC1</v>
      </c>
    </row>
    <row r="149" spans="1:10" hidden="1">
      <c r="A149" t="s">
        <v>526</v>
      </c>
      <c r="B149" t="str">
        <f t="shared" si="10"/>
        <v>P-22107</v>
      </c>
      <c r="C149" t="str">
        <f t="shared" si="11"/>
        <v>0</v>
      </c>
      <c r="D149">
        <f t="shared" si="12"/>
        <v>4</v>
      </c>
      <c r="E149">
        <f t="shared" si="13"/>
        <v>5</v>
      </c>
      <c r="F149" t="str">
        <f>_xlfn.LET(_xlpm.count, _xlfn.XLOOKUP(B149,'CL.SOL5--20251227'!I:I,'CL.SOL5--20251227'!L:L), IF(_xlpm.count=E149,"-", _xlpm.count))</f>
        <v>-</v>
      </c>
      <c r="G149" t="str">
        <f t="shared" si="14"/>
        <v>P-22107-S1PL-Rev0-004</v>
      </c>
      <c r="H149" t="str">
        <f>_xlfn.LET(_xlpm.rev, _xlfn.XLOOKUP(B149,'CL.SOL5--20251227'!I:I,'CL.SOL5--20251227'!K:K), IF(_xlpm.rev=C149, "-", _xlpm.rev))</f>
        <v>-</v>
      </c>
      <c r="I149">
        <v>148</v>
      </c>
      <c r="J149" t="str">
        <f>_xlfn.XLOOKUP(B149,'CL.SOL5--20251227'!I:I,'CL.SOL5--20251227'!H:H)</f>
        <v>P-22107-1.1/2"-S1PL-HC1</v>
      </c>
    </row>
    <row r="150" spans="1:10" hidden="1">
      <c r="A150" t="s">
        <v>527</v>
      </c>
      <c r="B150" t="str">
        <f t="shared" si="10"/>
        <v>P-22107</v>
      </c>
      <c r="C150" t="str">
        <f t="shared" si="11"/>
        <v>0</v>
      </c>
      <c r="D150">
        <f t="shared" si="12"/>
        <v>5</v>
      </c>
      <c r="E150">
        <f t="shared" si="13"/>
        <v>5</v>
      </c>
      <c r="F150" t="str">
        <f>_xlfn.LET(_xlpm.count, _xlfn.XLOOKUP(B150,'CL.SOL5--20251227'!I:I,'CL.SOL5--20251227'!L:L), IF(_xlpm.count=E150,"-", _xlpm.count))</f>
        <v>-</v>
      </c>
      <c r="G150" t="str">
        <f t="shared" si="14"/>
        <v>P-22107-S1PL-Rev0-005</v>
      </c>
      <c r="H150" t="str">
        <f>_xlfn.LET(_xlpm.rev, _xlfn.XLOOKUP(B150,'CL.SOL5--20251227'!I:I,'CL.SOL5--20251227'!K:K), IF(_xlpm.rev=C150, "-", _xlpm.rev))</f>
        <v>-</v>
      </c>
      <c r="I150">
        <v>149</v>
      </c>
      <c r="J150" t="str">
        <f>_xlfn.XLOOKUP(B150,'CL.SOL5--20251227'!I:I,'CL.SOL5--20251227'!H:H)</f>
        <v>P-22107-1.1/2"-S1PL-HC1</v>
      </c>
    </row>
    <row r="151" spans="1:10" hidden="1">
      <c r="A151" t="s">
        <v>528</v>
      </c>
      <c r="B151" t="str">
        <f t="shared" si="10"/>
        <v>P-22108</v>
      </c>
      <c r="C151" t="str">
        <f t="shared" si="11"/>
        <v>0</v>
      </c>
      <c r="D151">
        <f t="shared" si="12"/>
        <v>1</v>
      </c>
      <c r="E151">
        <f t="shared" si="13"/>
        <v>2</v>
      </c>
      <c r="F151" t="str">
        <f>_xlfn.LET(_xlpm.count, _xlfn.XLOOKUP(B151,'CL.SOL5--20251227'!I:I,'CL.SOL5--20251227'!L:L), IF(_xlpm.count=E151,"-", _xlpm.count))</f>
        <v>-</v>
      </c>
      <c r="G151" t="str">
        <f t="shared" si="14"/>
        <v>P-22108-S1PL-Rev0-001</v>
      </c>
      <c r="H151" t="str">
        <f>_xlfn.LET(_xlpm.rev, _xlfn.XLOOKUP(B151,'CL.SOL5--20251227'!I:I,'CL.SOL5--20251227'!K:K), IF(_xlpm.rev=C151, "-", _xlpm.rev))</f>
        <v>-</v>
      </c>
      <c r="I151">
        <v>150</v>
      </c>
      <c r="J151" t="str">
        <f>_xlfn.XLOOKUP(B151,'CL.SOL5--20251227'!I:I,'CL.SOL5--20251227'!H:H)</f>
        <v>P-22108-1.1/2"-S1PL-HC1</v>
      </c>
    </row>
    <row r="152" spans="1:10" hidden="1">
      <c r="A152" t="s">
        <v>529</v>
      </c>
      <c r="B152" t="str">
        <f t="shared" si="10"/>
        <v>P-22108</v>
      </c>
      <c r="C152" t="str">
        <f t="shared" si="11"/>
        <v>0</v>
      </c>
      <c r="D152">
        <f t="shared" si="12"/>
        <v>2</v>
      </c>
      <c r="E152">
        <f t="shared" si="13"/>
        <v>2</v>
      </c>
      <c r="F152" t="str">
        <f>_xlfn.LET(_xlpm.count, _xlfn.XLOOKUP(B152,'CL.SOL5--20251227'!I:I,'CL.SOL5--20251227'!L:L), IF(_xlpm.count=E152,"-", _xlpm.count))</f>
        <v>-</v>
      </c>
      <c r="G152" t="str">
        <f t="shared" si="14"/>
        <v>P-22108-S1PL-Rev0-002</v>
      </c>
      <c r="H152" t="str">
        <f>_xlfn.LET(_xlpm.rev, _xlfn.XLOOKUP(B152,'CL.SOL5--20251227'!I:I,'CL.SOL5--20251227'!K:K), IF(_xlpm.rev=C152, "-", _xlpm.rev))</f>
        <v>-</v>
      </c>
      <c r="I152">
        <v>151</v>
      </c>
      <c r="J152" t="str">
        <f>_xlfn.XLOOKUP(B152,'CL.SOL5--20251227'!I:I,'CL.SOL5--20251227'!H:H)</f>
        <v>P-22108-1.1/2"-S1PL-HC1</v>
      </c>
    </row>
    <row r="153" spans="1:10" hidden="1">
      <c r="A153" t="s">
        <v>530</v>
      </c>
      <c r="B153" t="str">
        <f t="shared" si="10"/>
        <v>P-22109</v>
      </c>
      <c r="C153" t="str">
        <f t="shared" si="11"/>
        <v>0</v>
      </c>
      <c r="D153">
        <f t="shared" si="12"/>
        <v>1</v>
      </c>
      <c r="E153">
        <f t="shared" si="13"/>
        <v>1</v>
      </c>
      <c r="F153" t="str">
        <f>_xlfn.LET(_xlpm.count, _xlfn.XLOOKUP(B153,'CL.SOL5--20251227'!I:I,'CL.SOL5--20251227'!L:L), IF(_xlpm.count=E153,"-", _xlpm.count))</f>
        <v>-</v>
      </c>
      <c r="G153" t="str">
        <f t="shared" si="14"/>
        <v>P-22109-S1PL-Rev0-001</v>
      </c>
      <c r="H153" t="str">
        <f>_xlfn.LET(_xlpm.rev, _xlfn.XLOOKUP(B153,'CL.SOL5--20251227'!I:I,'CL.SOL5--20251227'!K:K), IF(_xlpm.rev=C153, "-", _xlpm.rev))</f>
        <v>-</v>
      </c>
      <c r="I153">
        <v>152</v>
      </c>
      <c r="J153" t="str">
        <f>_xlfn.XLOOKUP(B153,'CL.SOL5--20251227'!I:I,'CL.SOL5--20251227'!H:H)</f>
        <v>P-22109-3/4"-S1PL-HC1</v>
      </c>
    </row>
    <row r="154" spans="1:10" hidden="1">
      <c r="A154" t="s">
        <v>531</v>
      </c>
      <c r="B154" t="str">
        <f t="shared" si="10"/>
        <v>P-22110</v>
      </c>
      <c r="C154" t="str">
        <f t="shared" si="11"/>
        <v>0</v>
      </c>
      <c r="D154">
        <f t="shared" si="12"/>
        <v>1</v>
      </c>
      <c r="E154">
        <f t="shared" si="13"/>
        <v>1</v>
      </c>
      <c r="F154" t="str">
        <f>_xlfn.LET(_xlpm.count, _xlfn.XLOOKUP(B154,'CL.SOL5--20251227'!I:I,'CL.SOL5--20251227'!L:L), IF(_xlpm.count=E154,"-", _xlpm.count))</f>
        <v>-</v>
      </c>
      <c r="G154" t="str">
        <f t="shared" si="14"/>
        <v>P-22110-S1PL-Rev0-001</v>
      </c>
      <c r="H154" t="str">
        <f>_xlfn.LET(_xlpm.rev, _xlfn.XLOOKUP(B154,'CL.SOL5--20251227'!I:I,'CL.SOL5--20251227'!K:K), IF(_xlpm.rev=C154, "-", _xlpm.rev))</f>
        <v>-</v>
      </c>
      <c r="I154">
        <v>153</v>
      </c>
      <c r="J154" t="str">
        <f>_xlfn.XLOOKUP(B154,'CL.SOL5--20251227'!I:I,'CL.SOL5--20251227'!H:H)</f>
        <v>P-22110-3/4"-S1PL-HC1</v>
      </c>
    </row>
    <row r="155" spans="1:10" hidden="1">
      <c r="A155" t="s">
        <v>532</v>
      </c>
      <c r="B155" t="str">
        <f t="shared" si="10"/>
        <v>P-22111</v>
      </c>
      <c r="C155" t="str">
        <f t="shared" si="11"/>
        <v>0</v>
      </c>
      <c r="D155">
        <f t="shared" si="12"/>
        <v>1</v>
      </c>
      <c r="E155">
        <f t="shared" si="13"/>
        <v>2</v>
      </c>
      <c r="F155" t="str">
        <f>_xlfn.LET(_xlpm.count, _xlfn.XLOOKUP(B155,'CL.SOL5--20251227'!I:I,'CL.SOL5--20251227'!L:L), IF(_xlpm.count=E155,"-", _xlpm.count))</f>
        <v>-</v>
      </c>
      <c r="G155" t="str">
        <f t="shared" si="14"/>
        <v>P-22111-S1PL-Rev0-001</v>
      </c>
      <c r="H155" t="str">
        <f>_xlfn.LET(_xlpm.rev, _xlfn.XLOOKUP(B155,'CL.SOL5--20251227'!I:I,'CL.SOL5--20251227'!K:K), IF(_xlpm.rev=C155, "-", _xlpm.rev))</f>
        <v>-</v>
      </c>
      <c r="I155">
        <v>154</v>
      </c>
      <c r="J155" t="str">
        <f>_xlfn.XLOOKUP(B155,'CL.SOL5--20251227'!I:I,'CL.SOL5--20251227'!H:H)</f>
        <v>P-22111-1.1/2"-S1PL-PP1</v>
      </c>
    </row>
    <row r="156" spans="1:10" hidden="1">
      <c r="A156" t="s">
        <v>533</v>
      </c>
      <c r="B156" t="str">
        <f t="shared" si="10"/>
        <v>P-22111</v>
      </c>
      <c r="C156" t="str">
        <f t="shared" si="11"/>
        <v>0</v>
      </c>
      <c r="D156">
        <f t="shared" si="12"/>
        <v>2</v>
      </c>
      <c r="E156">
        <f t="shared" si="13"/>
        <v>2</v>
      </c>
      <c r="F156" t="str">
        <f>_xlfn.LET(_xlpm.count, _xlfn.XLOOKUP(B156,'CL.SOL5--20251227'!I:I,'CL.SOL5--20251227'!L:L), IF(_xlpm.count=E156,"-", _xlpm.count))</f>
        <v>-</v>
      </c>
      <c r="G156" t="str">
        <f t="shared" si="14"/>
        <v>P-22111-S1PL-Rev0-002</v>
      </c>
      <c r="H156" t="str">
        <f>_xlfn.LET(_xlpm.rev, _xlfn.XLOOKUP(B156,'CL.SOL5--20251227'!I:I,'CL.SOL5--20251227'!K:K), IF(_xlpm.rev=C156, "-", _xlpm.rev))</f>
        <v>-</v>
      </c>
      <c r="I156">
        <v>155</v>
      </c>
      <c r="J156" t="str">
        <f>_xlfn.XLOOKUP(B156,'CL.SOL5--20251227'!I:I,'CL.SOL5--20251227'!H:H)</f>
        <v>P-22111-1.1/2"-S1PL-PP1</v>
      </c>
    </row>
    <row r="157" spans="1:10" hidden="1">
      <c r="A157" t="s">
        <v>534</v>
      </c>
      <c r="B157" t="str">
        <f t="shared" si="10"/>
        <v>P-22112</v>
      </c>
      <c r="C157" t="str">
        <f t="shared" si="11"/>
        <v>0</v>
      </c>
      <c r="D157">
        <f t="shared" si="12"/>
        <v>1</v>
      </c>
      <c r="E157">
        <f t="shared" si="13"/>
        <v>2</v>
      </c>
      <c r="F157" t="str">
        <f>_xlfn.LET(_xlpm.count, _xlfn.XLOOKUP(B157,'CL.SOL5--20251227'!I:I,'CL.SOL5--20251227'!L:L), IF(_xlpm.count=E157,"-", _xlpm.count))</f>
        <v>-</v>
      </c>
      <c r="G157" t="str">
        <f t="shared" si="14"/>
        <v>P-22112-S1P4-Rev0-001</v>
      </c>
      <c r="H157" t="str">
        <f>_xlfn.LET(_xlpm.rev, _xlfn.XLOOKUP(B157,'CL.SOL5--20251227'!I:I,'CL.SOL5--20251227'!K:K), IF(_xlpm.rev=C157, "-", _xlpm.rev))</f>
        <v>-</v>
      </c>
      <c r="I157">
        <v>156</v>
      </c>
      <c r="J157" t="str">
        <f>_xlfn.XLOOKUP(B157,'CL.SOL5--20251227'!I:I,'CL.SOL5--20251227'!H:H)</f>
        <v>P-22112-1"-S1P4</v>
      </c>
    </row>
    <row r="158" spans="1:10" hidden="1">
      <c r="A158" t="s">
        <v>535</v>
      </c>
      <c r="B158" t="str">
        <f t="shared" si="10"/>
        <v>P-22112</v>
      </c>
      <c r="C158" t="str">
        <f t="shared" si="11"/>
        <v>0</v>
      </c>
      <c r="D158">
        <f t="shared" si="12"/>
        <v>2</v>
      </c>
      <c r="E158">
        <f t="shared" si="13"/>
        <v>2</v>
      </c>
      <c r="F158" t="str">
        <f>_xlfn.LET(_xlpm.count, _xlfn.XLOOKUP(B158,'CL.SOL5--20251227'!I:I,'CL.SOL5--20251227'!L:L), IF(_xlpm.count=E158,"-", _xlpm.count))</f>
        <v>-</v>
      </c>
      <c r="G158" t="str">
        <f t="shared" si="14"/>
        <v>P-22112-S1P4-Rev0-002</v>
      </c>
      <c r="H158" t="str">
        <f>_xlfn.LET(_xlpm.rev, _xlfn.XLOOKUP(B158,'CL.SOL5--20251227'!I:I,'CL.SOL5--20251227'!K:K), IF(_xlpm.rev=C158, "-", _xlpm.rev))</f>
        <v>-</v>
      </c>
      <c r="I158">
        <v>157</v>
      </c>
      <c r="J158" t="str">
        <f>_xlfn.XLOOKUP(B158,'CL.SOL5--20251227'!I:I,'CL.SOL5--20251227'!H:H)</f>
        <v>P-22112-1"-S1P4</v>
      </c>
    </row>
    <row r="159" spans="1:10" hidden="1">
      <c r="A159" t="s">
        <v>536</v>
      </c>
      <c r="B159" t="str">
        <f t="shared" si="10"/>
        <v>P-22113</v>
      </c>
      <c r="C159" t="str">
        <f t="shared" si="11"/>
        <v>0</v>
      </c>
      <c r="D159">
        <f t="shared" si="12"/>
        <v>1</v>
      </c>
      <c r="E159">
        <f t="shared" si="13"/>
        <v>3</v>
      </c>
      <c r="F159" t="str">
        <f>_xlfn.LET(_xlpm.count, _xlfn.XLOOKUP(B159,'CL.SOL5--20251227'!I:I,'CL.SOL5--20251227'!L:L), IF(_xlpm.count=E159,"-", _xlpm.count))</f>
        <v>-</v>
      </c>
      <c r="G159" t="str">
        <f t="shared" si="14"/>
        <v>P-22113-S1PL-Rev0-001</v>
      </c>
      <c r="H159" t="str">
        <f>_xlfn.LET(_xlpm.rev, _xlfn.XLOOKUP(B159,'CL.SOL5--20251227'!I:I,'CL.SOL5--20251227'!K:K), IF(_xlpm.rev=C159, "-", _xlpm.rev))</f>
        <v>-</v>
      </c>
      <c r="I159">
        <v>158</v>
      </c>
      <c r="J159" t="str">
        <f>_xlfn.XLOOKUP(B159,'CL.SOL5--20251227'!I:I,'CL.SOL5--20251227'!H:H)</f>
        <v>P-22113-6"-S1PL-HC1</v>
      </c>
    </row>
    <row r="160" spans="1:10" hidden="1">
      <c r="A160" t="s">
        <v>537</v>
      </c>
      <c r="B160" t="str">
        <f t="shared" si="10"/>
        <v>P-22113</v>
      </c>
      <c r="C160" t="str">
        <f t="shared" si="11"/>
        <v>0</v>
      </c>
      <c r="D160">
        <f t="shared" si="12"/>
        <v>2</v>
      </c>
      <c r="E160">
        <f t="shared" si="13"/>
        <v>3</v>
      </c>
      <c r="F160" t="str">
        <f>_xlfn.LET(_xlpm.count, _xlfn.XLOOKUP(B160,'CL.SOL5--20251227'!I:I,'CL.SOL5--20251227'!L:L), IF(_xlpm.count=E160,"-", _xlpm.count))</f>
        <v>-</v>
      </c>
      <c r="G160" t="str">
        <f t="shared" si="14"/>
        <v>P-22113-S1PL-Rev0-002</v>
      </c>
      <c r="H160" t="str">
        <f>_xlfn.LET(_xlpm.rev, _xlfn.XLOOKUP(B160,'CL.SOL5--20251227'!I:I,'CL.SOL5--20251227'!K:K), IF(_xlpm.rev=C160, "-", _xlpm.rev))</f>
        <v>-</v>
      </c>
      <c r="I160">
        <v>159</v>
      </c>
      <c r="J160" t="str">
        <f>_xlfn.XLOOKUP(B160,'CL.SOL5--20251227'!I:I,'CL.SOL5--20251227'!H:H)</f>
        <v>P-22113-6"-S1PL-HC1</v>
      </c>
    </row>
    <row r="161" spans="1:10" hidden="1">
      <c r="A161" t="s">
        <v>538</v>
      </c>
      <c r="B161" t="str">
        <f t="shared" si="10"/>
        <v>P-22113</v>
      </c>
      <c r="C161" t="str">
        <f t="shared" si="11"/>
        <v>0</v>
      </c>
      <c r="D161">
        <f t="shared" si="12"/>
        <v>3</v>
      </c>
      <c r="E161">
        <f t="shared" si="13"/>
        <v>3</v>
      </c>
      <c r="F161" t="str">
        <f>_xlfn.LET(_xlpm.count, _xlfn.XLOOKUP(B161,'CL.SOL5--20251227'!I:I,'CL.SOL5--20251227'!L:L), IF(_xlpm.count=E161,"-", _xlpm.count))</f>
        <v>-</v>
      </c>
      <c r="G161" t="str">
        <f t="shared" si="14"/>
        <v>P-22113-S1PL-Rev0-003</v>
      </c>
      <c r="H161" t="str">
        <f>_xlfn.LET(_xlpm.rev, _xlfn.XLOOKUP(B161,'CL.SOL5--20251227'!I:I,'CL.SOL5--20251227'!K:K), IF(_xlpm.rev=C161, "-", _xlpm.rev))</f>
        <v>-</v>
      </c>
      <c r="I161">
        <v>160</v>
      </c>
      <c r="J161" t="str">
        <f>_xlfn.XLOOKUP(B161,'CL.SOL5--20251227'!I:I,'CL.SOL5--20251227'!H:H)</f>
        <v>P-22113-6"-S1PL-HC1</v>
      </c>
    </row>
    <row r="162" spans="1:10" hidden="1">
      <c r="A162" t="s">
        <v>539</v>
      </c>
      <c r="B162" t="str">
        <f t="shared" si="10"/>
        <v>P-22114</v>
      </c>
      <c r="C162" t="str">
        <f t="shared" si="11"/>
        <v>1</v>
      </c>
      <c r="D162">
        <f t="shared" si="12"/>
        <v>1</v>
      </c>
      <c r="E162">
        <f t="shared" si="13"/>
        <v>2</v>
      </c>
      <c r="F162" t="str">
        <f>_xlfn.LET(_xlpm.count, _xlfn.XLOOKUP(B162,'CL.SOL5--20251227'!I:I,'CL.SOL5--20251227'!L:L), IF(_xlpm.count=E162,"-", _xlpm.count))</f>
        <v>-</v>
      </c>
      <c r="G162" t="str">
        <f t="shared" si="14"/>
        <v>P-22114-S1PL-Rev1-001</v>
      </c>
      <c r="H162" t="str">
        <f>_xlfn.LET(_xlpm.rev, _xlfn.XLOOKUP(B162,'CL.SOL5--20251227'!I:I,'CL.SOL5--20251227'!K:K), IF(_xlpm.rev=C162, "-", _xlpm.rev))</f>
        <v>-</v>
      </c>
      <c r="I162">
        <v>161</v>
      </c>
      <c r="J162" t="str">
        <f>_xlfn.XLOOKUP(B162,'CL.SOL5--20251227'!I:I,'CL.SOL5--20251227'!H:H)</f>
        <v>P-22114-1"-S1PL</v>
      </c>
    </row>
    <row r="163" spans="1:10" hidden="1">
      <c r="A163" t="s">
        <v>540</v>
      </c>
      <c r="B163" t="str">
        <f t="shared" si="10"/>
        <v>P-22114</v>
      </c>
      <c r="C163" t="str">
        <f t="shared" si="11"/>
        <v>1</v>
      </c>
      <c r="D163">
        <f t="shared" si="12"/>
        <v>2</v>
      </c>
      <c r="E163">
        <f t="shared" si="13"/>
        <v>2</v>
      </c>
      <c r="F163" t="str">
        <f>_xlfn.LET(_xlpm.count, _xlfn.XLOOKUP(B163,'CL.SOL5--20251227'!I:I,'CL.SOL5--20251227'!L:L), IF(_xlpm.count=E163,"-", _xlpm.count))</f>
        <v>-</v>
      </c>
      <c r="G163" t="str">
        <f t="shared" si="14"/>
        <v>P-22114-S1PL-Rev1-002</v>
      </c>
      <c r="H163" t="str">
        <f>_xlfn.LET(_xlpm.rev, _xlfn.XLOOKUP(B163,'CL.SOL5--20251227'!I:I,'CL.SOL5--20251227'!K:K), IF(_xlpm.rev=C163, "-", _xlpm.rev))</f>
        <v>-</v>
      </c>
      <c r="I163">
        <v>162</v>
      </c>
      <c r="J163" t="str">
        <f>_xlfn.XLOOKUP(B163,'CL.SOL5--20251227'!I:I,'CL.SOL5--20251227'!H:H)</f>
        <v>P-22114-1"-S1PL</v>
      </c>
    </row>
    <row r="164" spans="1:10" hidden="1">
      <c r="A164" t="s">
        <v>541</v>
      </c>
      <c r="B164" t="str">
        <f t="shared" si="10"/>
        <v>P-22115</v>
      </c>
      <c r="C164" t="str">
        <f t="shared" si="11"/>
        <v>0</v>
      </c>
      <c r="D164">
        <f t="shared" si="12"/>
        <v>1</v>
      </c>
      <c r="E164">
        <f t="shared" si="13"/>
        <v>2</v>
      </c>
      <c r="F164" t="str">
        <f>_xlfn.LET(_xlpm.count, _xlfn.XLOOKUP(B164,'CL.SOL5--20251227'!I:I,'CL.SOL5--20251227'!L:L), IF(_xlpm.count=E164,"-", _xlpm.count))</f>
        <v>-</v>
      </c>
      <c r="G164" t="str">
        <f t="shared" si="14"/>
        <v>P-22115-S1PL-Rev0-001</v>
      </c>
      <c r="H164" t="str">
        <f>_xlfn.LET(_xlpm.rev, _xlfn.XLOOKUP(B164,'CL.SOL5--20251227'!I:I,'CL.SOL5--20251227'!K:K), IF(_xlpm.rev=C164, "-", _xlpm.rev))</f>
        <v>-</v>
      </c>
      <c r="I164">
        <v>163</v>
      </c>
      <c r="J164" t="str">
        <f>_xlfn.XLOOKUP(B164,'CL.SOL5--20251227'!I:I,'CL.SOL5--20251227'!H:H)</f>
        <v>P-22115-1.1/2"-S1PL-HC1</v>
      </c>
    </row>
    <row r="165" spans="1:10" hidden="1">
      <c r="A165" t="s">
        <v>542</v>
      </c>
      <c r="B165" t="str">
        <f t="shared" si="10"/>
        <v>P-22115</v>
      </c>
      <c r="C165" t="str">
        <f t="shared" si="11"/>
        <v>0</v>
      </c>
      <c r="D165">
        <f t="shared" si="12"/>
        <v>2</v>
      </c>
      <c r="E165">
        <f t="shared" si="13"/>
        <v>2</v>
      </c>
      <c r="F165" t="str">
        <f>_xlfn.LET(_xlpm.count, _xlfn.XLOOKUP(B165,'CL.SOL5--20251227'!I:I,'CL.SOL5--20251227'!L:L), IF(_xlpm.count=E165,"-", _xlpm.count))</f>
        <v>-</v>
      </c>
      <c r="G165" t="str">
        <f t="shared" si="14"/>
        <v>P-22115-S1PL-Rev0-002</v>
      </c>
      <c r="H165" t="str">
        <f>_xlfn.LET(_xlpm.rev, _xlfn.XLOOKUP(B165,'CL.SOL5--20251227'!I:I,'CL.SOL5--20251227'!K:K), IF(_xlpm.rev=C165, "-", _xlpm.rev))</f>
        <v>-</v>
      </c>
      <c r="I165">
        <v>164</v>
      </c>
      <c r="J165" t="str">
        <f>_xlfn.XLOOKUP(B165,'CL.SOL5--20251227'!I:I,'CL.SOL5--20251227'!H:H)</f>
        <v>P-22115-1.1/2"-S1PL-HC1</v>
      </c>
    </row>
    <row r="166" spans="1:10" hidden="1">
      <c r="A166" t="s">
        <v>543</v>
      </c>
      <c r="B166" t="str">
        <f t="shared" si="10"/>
        <v>P-22116</v>
      </c>
      <c r="C166" t="str">
        <f t="shared" si="11"/>
        <v>0</v>
      </c>
      <c r="D166">
        <f t="shared" si="12"/>
        <v>1</v>
      </c>
      <c r="E166">
        <f t="shared" si="13"/>
        <v>4</v>
      </c>
      <c r="F166" t="str">
        <f>_xlfn.LET(_xlpm.count, _xlfn.XLOOKUP(B166,'CL.SOL5--20251227'!I:I,'CL.SOL5--20251227'!L:L), IF(_xlpm.count=E166,"-", _xlpm.count))</f>
        <v>-</v>
      </c>
      <c r="G166" t="str">
        <f t="shared" si="14"/>
        <v>P-22116-S1PL-Rev0-001</v>
      </c>
      <c r="H166" t="str">
        <f>_xlfn.LET(_xlpm.rev, _xlfn.XLOOKUP(B166,'CL.SOL5--20251227'!I:I,'CL.SOL5--20251227'!K:K), IF(_xlpm.rev=C166, "-", _xlpm.rev))</f>
        <v>-</v>
      </c>
      <c r="I166">
        <v>165</v>
      </c>
      <c r="J166" t="str">
        <f>_xlfn.XLOOKUP(B166,'CL.SOL5--20251227'!I:I,'CL.SOL5--20251227'!H:H)</f>
        <v>P-22116-2"-S1PL-HC1</v>
      </c>
    </row>
    <row r="167" spans="1:10" hidden="1">
      <c r="A167" t="s">
        <v>544</v>
      </c>
      <c r="B167" t="str">
        <f t="shared" si="10"/>
        <v>P-22116</v>
      </c>
      <c r="C167" t="str">
        <f t="shared" si="11"/>
        <v>0</v>
      </c>
      <c r="D167">
        <f t="shared" si="12"/>
        <v>2</v>
      </c>
      <c r="E167">
        <f t="shared" si="13"/>
        <v>4</v>
      </c>
      <c r="F167" t="str">
        <f>_xlfn.LET(_xlpm.count, _xlfn.XLOOKUP(B167,'CL.SOL5--20251227'!I:I,'CL.SOL5--20251227'!L:L), IF(_xlpm.count=E167,"-", _xlpm.count))</f>
        <v>-</v>
      </c>
      <c r="G167" t="str">
        <f t="shared" si="14"/>
        <v>P-22116-S1PL-Rev0-002</v>
      </c>
      <c r="H167" t="str">
        <f>_xlfn.LET(_xlpm.rev, _xlfn.XLOOKUP(B167,'CL.SOL5--20251227'!I:I,'CL.SOL5--20251227'!K:K), IF(_xlpm.rev=C167, "-", _xlpm.rev))</f>
        <v>-</v>
      </c>
      <c r="I167">
        <v>166</v>
      </c>
      <c r="J167" t="str">
        <f>_xlfn.XLOOKUP(B167,'CL.SOL5--20251227'!I:I,'CL.SOL5--20251227'!H:H)</f>
        <v>P-22116-2"-S1PL-HC1</v>
      </c>
    </row>
    <row r="168" spans="1:10" hidden="1">
      <c r="A168" t="s">
        <v>545</v>
      </c>
      <c r="B168" t="str">
        <f t="shared" si="10"/>
        <v>P-22116</v>
      </c>
      <c r="C168" t="str">
        <f t="shared" si="11"/>
        <v>0</v>
      </c>
      <c r="D168">
        <f t="shared" si="12"/>
        <v>3</v>
      </c>
      <c r="E168">
        <f t="shared" si="13"/>
        <v>4</v>
      </c>
      <c r="F168" t="str">
        <f>_xlfn.LET(_xlpm.count, _xlfn.XLOOKUP(B168,'CL.SOL5--20251227'!I:I,'CL.SOL5--20251227'!L:L), IF(_xlpm.count=E168,"-", _xlpm.count))</f>
        <v>-</v>
      </c>
      <c r="G168" t="str">
        <f t="shared" si="14"/>
        <v>P-22116-S1PL-Rev0-003</v>
      </c>
      <c r="H168" t="str">
        <f>_xlfn.LET(_xlpm.rev, _xlfn.XLOOKUP(B168,'CL.SOL5--20251227'!I:I,'CL.SOL5--20251227'!K:K), IF(_xlpm.rev=C168, "-", _xlpm.rev))</f>
        <v>-</v>
      </c>
      <c r="I168">
        <v>167</v>
      </c>
      <c r="J168" t="str">
        <f>_xlfn.XLOOKUP(B168,'CL.SOL5--20251227'!I:I,'CL.SOL5--20251227'!H:H)</f>
        <v>P-22116-2"-S1PL-HC1</v>
      </c>
    </row>
    <row r="169" spans="1:10" hidden="1">
      <c r="A169" t="s">
        <v>546</v>
      </c>
      <c r="B169" t="str">
        <f t="shared" si="10"/>
        <v>P-22116</v>
      </c>
      <c r="C169" t="str">
        <f t="shared" si="11"/>
        <v>0</v>
      </c>
      <c r="D169">
        <f t="shared" si="12"/>
        <v>4</v>
      </c>
      <c r="E169">
        <f t="shared" si="13"/>
        <v>4</v>
      </c>
      <c r="F169" t="str">
        <f>_xlfn.LET(_xlpm.count, _xlfn.XLOOKUP(B169,'CL.SOL5--20251227'!I:I,'CL.SOL5--20251227'!L:L), IF(_xlpm.count=E169,"-", _xlpm.count))</f>
        <v>-</v>
      </c>
      <c r="G169" t="str">
        <f t="shared" si="14"/>
        <v>P-22116-S1PL-Rev0-004</v>
      </c>
      <c r="H169" t="str">
        <f>_xlfn.LET(_xlpm.rev, _xlfn.XLOOKUP(B169,'CL.SOL5--20251227'!I:I,'CL.SOL5--20251227'!K:K), IF(_xlpm.rev=C169, "-", _xlpm.rev))</f>
        <v>-</v>
      </c>
      <c r="I169">
        <v>168</v>
      </c>
      <c r="J169" t="str">
        <f>_xlfn.XLOOKUP(B169,'CL.SOL5--20251227'!I:I,'CL.SOL5--20251227'!H:H)</f>
        <v>P-22116-2"-S1PL-HC1</v>
      </c>
    </row>
    <row r="170" spans="1:10" hidden="1">
      <c r="A170" t="s">
        <v>547</v>
      </c>
      <c r="B170" t="str">
        <f t="shared" si="10"/>
        <v>P-22117</v>
      </c>
      <c r="C170" t="str">
        <f t="shared" si="11"/>
        <v>0</v>
      </c>
      <c r="D170">
        <f t="shared" si="12"/>
        <v>1</v>
      </c>
      <c r="E170">
        <f t="shared" si="13"/>
        <v>1</v>
      </c>
      <c r="F170" t="str">
        <f>_xlfn.LET(_xlpm.count, _xlfn.XLOOKUP(B170,'CL.SOL5--20251227'!I:I,'CL.SOL5--20251227'!L:L), IF(_xlpm.count=E170,"-", _xlpm.count))</f>
        <v>-</v>
      </c>
      <c r="G170" t="str">
        <f t="shared" si="14"/>
        <v>P-22117-S1PL-Rev0-001</v>
      </c>
      <c r="H170" t="str">
        <f>_xlfn.LET(_xlpm.rev, _xlfn.XLOOKUP(B170,'CL.SOL5--20251227'!I:I,'CL.SOL5--20251227'!K:K), IF(_xlpm.rev=C170, "-", _xlpm.rev))</f>
        <v>-</v>
      </c>
      <c r="I170">
        <v>169</v>
      </c>
      <c r="J170" t="str">
        <f>_xlfn.XLOOKUP(B170,'CL.SOL5--20251227'!I:I,'CL.SOL5--20251227'!H:H)</f>
        <v>P-22117-2"-S1PL-HC1</v>
      </c>
    </row>
    <row r="171" spans="1:10" hidden="1">
      <c r="A171" t="s">
        <v>548</v>
      </c>
      <c r="B171" t="str">
        <f t="shared" si="10"/>
        <v>P-22118</v>
      </c>
      <c r="C171" t="str">
        <f t="shared" si="11"/>
        <v>0</v>
      </c>
      <c r="D171">
        <f t="shared" si="12"/>
        <v>1</v>
      </c>
      <c r="E171">
        <f t="shared" si="13"/>
        <v>3</v>
      </c>
      <c r="F171" t="str">
        <f>_xlfn.LET(_xlpm.count, _xlfn.XLOOKUP(B171,'CL.SOL5--20251227'!I:I,'CL.SOL5--20251227'!L:L), IF(_xlpm.count=E171,"-", _xlpm.count))</f>
        <v>-</v>
      </c>
      <c r="G171" t="str">
        <f t="shared" si="14"/>
        <v>P-22118-S1PL-Rev0-001</v>
      </c>
      <c r="H171" t="str">
        <f>_xlfn.LET(_xlpm.rev, _xlfn.XLOOKUP(B171,'CL.SOL5--20251227'!I:I,'CL.SOL5--20251227'!K:K), IF(_xlpm.rev=C171, "-", _xlpm.rev))</f>
        <v>-</v>
      </c>
      <c r="I171">
        <v>170</v>
      </c>
      <c r="J171" t="str">
        <f>_xlfn.XLOOKUP(B171,'CL.SOL5--20251227'!I:I,'CL.SOL5--20251227'!H:H)</f>
        <v>P-22118-1.1/2"-S1PL-HC1</v>
      </c>
    </row>
    <row r="172" spans="1:10" hidden="1">
      <c r="A172" t="s">
        <v>549</v>
      </c>
      <c r="B172" t="str">
        <f t="shared" si="10"/>
        <v>P-22118</v>
      </c>
      <c r="C172" t="str">
        <f t="shared" si="11"/>
        <v>0</v>
      </c>
      <c r="D172">
        <f t="shared" si="12"/>
        <v>2</v>
      </c>
      <c r="E172">
        <f t="shared" si="13"/>
        <v>3</v>
      </c>
      <c r="F172" t="str">
        <f>_xlfn.LET(_xlpm.count, _xlfn.XLOOKUP(B172,'CL.SOL5--20251227'!I:I,'CL.SOL5--20251227'!L:L), IF(_xlpm.count=E172,"-", _xlpm.count))</f>
        <v>-</v>
      </c>
      <c r="G172" t="str">
        <f t="shared" si="14"/>
        <v>P-22118-S1PL-Rev0-002</v>
      </c>
      <c r="H172" t="str">
        <f>_xlfn.LET(_xlpm.rev, _xlfn.XLOOKUP(B172,'CL.SOL5--20251227'!I:I,'CL.SOL5--20251227'!K:K), IF(_xlpm.rev=C172, "-", _xlpm.rev))</f>
        <v>-</v>
      </c>
      <c r="I172">
        <v>171</v>
      </c>
      <c r="J172" t="str">
        <f>_xlfn.XLOOKUP(B172,'CL.SOL5--20251227'!I:I,'CL.SOL5--20251227'!H:H)</f>
        <v>P-22118-1.1/2"-S1PL-HC1</v>
      </c>
    </row>
    <row r="173" spans="1:10" hidden="1">
      <c r="A173" t="s">
        <v>550</v>
      </c>
      <c r="B173" t="str">
        <f t="shared" si="10"/>
        <v>P-22118</v>
      </c>
      <c r="C173" t="str">
        <f t="shared" si="11"/>
        <v>0</v>
      </c>
      <c r="D173">
        <f t="shared" si="12"/>
        <v>3</v>
      </c>
      <c r="E173">
        <f t="shared" si="13"/>
        <v>3</v>
      </c>
      <c r="F173" t="str">
        <f>_xlfn.LET(_xlpm.count, _xlfn.XLOOKUP(B173,'CL.SOL5--20251227'!I:I,'CL.SOL5--20251227'!L:L), IF(_xlpm.count=E173,"-", _xlpm.count))</f>
        <v>-</v>
      </c>
      <c r="G173" t="str">
        <f t="shared" si="14"/>
        <v>P-22118-S1PL-Rev0-003</v>
      </c>
      <c r="H173" t="str">
        <f>_xlfn.LET(_xlpm.rev, _xlfn.XLOOKUP(B173,'CL.SOL5--20251227'!I:I,'CL.SOL5--20251227'!K:K), IF(_xlpm.rev=C173, "-", _xlpm.rev))</f>
        <v>-</v>
      </c>
      <c r="I173">
        <v>172</v>
      </c>
      <c r="J173" t="str">
        <f>_xlfn.XLOOKUP(B173,'CL.SOL5--20251227'!I:I,'CL.SOL5--20251227'!H:H)</f>
        <v>P-22118-1.1/2"-S1PL-HC1</v>
      </c>
    </row>
    <row r="174" spans="1:10" hidden="1">
      <c r="A174" t="s">
        <v>551</v>
      </c>
      <c r="B174" t="str">
        <f t="shared" si="10"/>
        <v>P-22119</v>
      </c>
      <c r="C174" t="str">
        <f t="shared" si="11"/>
        <v>0</v>
      </c>
      <c r="D174">
        <f t="shared" si="12"/>
        <v>1</v>
      </c>
      <c r="E174">
        <f t="shared" si="13"/>
        <v>2</v>
      </c>
      <c r="F174" t="str">
        <f>_xlfn.LET(_xlpm.count, _xlfn.XLOOKUP(B174,'CL.SOL5--20251227'!I:I,'CL.SOL5--20251227'!L:L), IF(_xlpm.count=E174,"-", _xlpm.count))</f>
        <v>-</v>
      </c>
      <c r="G174" t="str">
        <f t="shared" si="14"/>
        <v>P-22119-S1PL-Rev0-001</v>
      </c>
      <c r="H174" t="str">
        <f>_xlfn.LET(_xlpm.rev, _xlfn.XLOOKUP(B174,'CL.SOL5--20251227'!I:I,'CL.SOL5--20251227'!K:K), IF(_xlpm.rev=C174, "-", _xlpm.rev))</f>
        <v>-</v>
      </c>
      <c r="I174">
        <v>173</v>
      </c>
      <c r="J174" t="str">
        <f>_xlfn.XLOOKUP(B174,'CL.SOL5--20251227'!I:I,'CL.SOL5--20251227'!H:H)</f>
        <v>P-22119-1.1/2"-S1PL-HC1</v>
      </c>
    </row>
    <row r="175" spans="1:10" hidden="1">
      <c r="A175" t="s">
        <v>552</v>
      </c>
      <c r="B175" t="str">
        <f t="shared" si="10"/>
        <v>P-22119</v>
      </c>
      <c r="C175" t="str">
        <f t="shared" si="11"/>
        <v>0</v>
      </c>
      <c r="D175">
        <f t="shared" si="12"/>
        <v>2</v>
      </c>
      <c r="E175">
        <f t="shared" si="13"/>
        <v>2</v>
      </c>
      <c r="F175" t="str">
        <f>_xlfn.LET(_xlpm.count, _xlfn.XLOOKUP(B175,'CL.SOL5--20251227'!I:I,'CL.SOL5--20251227'!L:L), IF(_xlpm.count=E175,"-", _xlpm.count))</f>
        <v>-</v>
      </c>
      <c r="G175" t="str">
        <f t="shared" si="14"/>
        <v>P-22119-S1PL-Rev0-002</v>
      </c>
      <c r="H175" t="str">
        <f>_xlfn.LET(_xlpm.rev, _xlfn.XLOOKUP(B175,'CL.SOL5--20251227'!I:I,'CL.SOL5--20251227'!K:K), IF(_xlpm.rev=C175, "-", _xlpm.rev))</f>
        <v>-</v>
      </c>
      <c r="I175">
        <v>174</v>
      </c>
      <c r="J175" t="str">
        <f>_xlfn.XLOOKUP(B175,'CL.SOL5--20251227'!I:I,'CL.SOL5--20251227'!H:H)</f>
        <v>P-22119-1.1/2"-S1PL-HC1</v>
      </c>
    </row>
    <row r="176" spans="1:10" hidden="1">
      <c r="A176" t="s">
        <v>553</v>
      </c>
      <c r="B176" t="str">
        <f t="shared" si="10"/>
        <v>P-22120</v>
      </c>
      <c r="C176" t="str">
        <f t="shared" si="11"/>
        <v>0</v>
      </c>
      <c r="D176">
        <f t="shared" si="12"/>
        <v>1</v>
      </c>
      <c r="E176">
        <f t="shared" si="13"/>
        <v>1</v>
      </c>
      <c r="F176" t="str">
        <f>_xlfn.LET(_xlpm.count, _xlfn.XLOOKUP(B176,'CL.SOL5--20251227'!I:I,'CL.SOL5--20251227'!L:L), IF(_xlpm.count=E176,"-", _xlpm.count))</f>
        <v>-</v>
      </c>
      <c r="G176" t="str">
        <f t="shared" si="14"/>
        <v>P-22120-S1PL-Rev0-001</v>
      </c>
      <c r="H176" t="str">
        <f>_xlfn.LET(_xlpm.rev, _xlfn.XLOOKUP(B176,'CL.SOL5--20251227'!I:I,'CL.SOL5--20251227'!K:K), IF(_xlpm.rev=C176, "-", _xlpm.rev))</f>
        <v>-</v>
      </c>
      <c r="I176">
        <v>175</v>
      </c>
      <c r="J176" t="str">
        <f>_xlfn.XLOOKUP(B176,'CL.SOL5--20251227'!I:I,'CL.SOL5--20251227'!H:H)</f>
        <v>P-22120-3/4"-S1PL-HC1</v>
      </c>
    </row>
    <row r="177" spans="1:10" hidden="1">
      <c r="A177" t="s">
        <v>554</v>
      </c>
      <c r="B177" t="str">
        <f t="shared" si="10"/>
        <v>P-22121</v>
      </c>
      <c r="C177" t="str">
        <f t="shared" si="11"/>
        <v>0</v>
      </c>
      <c r="D177">
        <f t="shared" si="12"/>
        <v>1</v>
      </c>
      <c r="E177">
        <f t="shared" si="13"/>
        <v>1</v>
      </c>
      <c r="F177" t="str">
        <f>_xlfn.LET(_xlpm.count, _xlfn.XLOOKUP(B177,'CL.SOL5--20251227'!I:I,'CL.SOL5--20251227'!L:L), IF(_xlpm.count=E177,"-", _xlpm.count))</f>
        <v>-</v>
      </c>
      <c r="G177" t="str">
        <f t="shared" si="14"/>
        <v>P-22121-S1PL-Rev0-001</v>
      </c>
      <c r="H177" t="str">
        <f>_xlfn.LET(_xlpm.rev, _xlfn.XLOOKUP(B177,'CL.SOL5--20251227'!I:I,'CL.SOL5--20251227'!K:K), IF(_xlpm.rev=C177, "-", _xlpm.rev))</f>
        <v>-</v>
      </c>
      <c r="I177">
        <v>176</v>
      </c>
      <c r="J177" t="str">
        <f>_xlfn.XLOOKUP(B177,'CL.SOL5--20251227'!I:I,'CL.SOL5--20251227'!H:H)</f>
        <v>P-22121-3/4"-S1PL-HC1</v>
      </c>
    </row>
    <row r="178" spans="1:10" hidden="1">
      <c r="A178" t="s">
        <v>555</v>
      </c>
      <c r="B178" t="str">
        <f t="shared" si="10"/>
        <v>P-22122</v>
      </c>
      <c r="C178" t="str">
        <f t="shared" si="11"/>
        <v>0</v>
      </c>
      <c r="D178">
        <f t="shared" si="12"/>
        <v>1</v>
      </c>
      <c r="E178">
        <f t="shared" si="13"/>
        <v>4</v>
      </c>
      <c r="F178" t="str">
        <f>_xlfn.LET(_xlpm.count, _xlfn.XLOOKUP(B178,'CL.SOL5--20251227'!I:I,'CL.SOL5--20251227'!L:L), IF(_xlpm.count=E178,"-", _xlpm.count))</f>
        <v>-</v>
      </c>
      <c r="G178" t="str">
        <f t="shared" si="14"/>
        <v>P-22122-S1PL-Rev0-001</v>
      </c>
      <c r="H178" t="str">
        <f>_xlfn.LET(_xlpm.rev, _xlfn.XLOOKUP(B178,'CL.SOL5--20251227'!I:I,'CL.SOL5--20251227'!K:K), IF(_xlpm.rev=C178, "-", _xlpm.rev))</f>
        <v>-</v>
      </c>
      <c r="I178">
        <v>177</v>
      </c>
      <c r="J178" t="str">
        <f>_xlfn.XLOOKUP(B178,'CL.SOL5--20251227'!I:I,'CL.SOL5--20251227'!H:H)</f>
        <v>P-22122-1.1/2"-S1PL-HC1</v>
      </c>
    </row>
    <row r="179" spans="1:10" hidden="1">
      <c r="A179" t="s">
        <v>556</v>
      </c>
      <c r="B179" t="str">
        <f t="shared" si="10"/>
        <v>P-22122</v>
      </c>
      <c r="C179" t="str">
        <f t="shared" si="11"/>
        <v>0</v>
      </c>
      <c r="D179">
        <f t="shared" si="12"/>
        <v>2</v>
      </c>
      <c r="E179">
        <f t="shared" si="13"/>
        <v>4</v>
      </c>
      <c r="F179" t="str">
        <f>_xlfn.LET(_xlpm.count, _xlfn.XLOOKUP(B179,'CL.SOL5--20251227'!I:I,'CL.SOL5--20251227'!L:L), IF(_xlpm.count=E179,"-", _xlpm.count))</f>
        <v>-</v>
      </c>
      <c r="G179" t="str">
        <f t="shared" si="14"/>
        <v>P-22122-S1PL-Rev0-002</v>
      </c>
      <c r="H179" t="str">
        <f>_xlfn.LET(_xlpm.rev, _xlfn.XLOOKUP(B179,'CL.SOL5--20251227'!I:I,'CL.SOL5--20251227'!K:K), IF(_xlpm.rev=C179, "-", _xlpm.rev))</f>
        <v>-</v>
      </c>
      <c r="I179">
        <v>178</v>
      </c>
      <c r="J179" t="str">
        <f>_xlfn.XLOOKUP(B179,'CL.SOL5--20251227'!I:I,'CL.SOL5--20251227'!H:H)</f>
        <v>P-22122-1.1/2"-S1PL-HC1</v>
      </c>
    </row>
    <row r="180" spans="1:10" hidden="1">
      <c r="A180" t="s">
        <v>557</v>
      </c>
      <c r="B180" t="str">
        <f t="shared" si="10"/>
        <v>P-22122</v>
      </c>
      <c r="C180" t="str">
        <f t="shared" si="11"/>
        <v>0</v>
      </c>
      <c r="D180">
        <f t="shared" si="12"/>
        <v>3</v>
      </c>
      <c r="E180">
        <f t="shared" si="13"/>
        <v>4</v>
      </c>
      <c r="F180" t="str">
        <f>_xlfn.LET(_xlpm.count, _xlfn.XLOOKUP(B180,'CL.SOL5--20251227'!I:I,'CL.SOL5--20251227'!L:L), IF(_xlpm.count=E180,"-", _xlpm.count))</f>
        <v>-</v>
      </c>
      <c r="G180" t="str">
        <f t="shared" si="14"/>
        <v>P-22122-S1PL-Rev0-003</v>
      </c>
      <c r="H180" t="str">
        <f>_xlfn.LET(_xlpm.rev, _xlfn.XLOOKUP(B180,'CL.SOL5--20251227'!I:I,'CL.SOL5--20251227'!K:K), IF(_xlpm.rev=C180, "-", _xlpm.rev))</f>
        <v>-</v>
      </c>
      <c r="I180">
        <v>179</v>
      </c>
      <c r="J180" t="str">
        <f>_xlfn.XLOOKUP(B180,'CL.SOL5--20251227'!I:I,'CL.SOL5--20251227'!H:H)</f>
        <v>P-22122-1.1/2"-S1PL-HC1</v>
      </c>
    </row>
    <row r="181" spans="1:10" hidden="1">
      <c r="A181" t="s">
        <v>558</v>
      </c>
      <c r="B181" t="str">
        <f t="shared" si="10"/>
        <v>P-22122</v>
      </c>
      <c r="C181" t="str">
        <f t="shared" si="11"/>
        <v>0</v>
      </c>
      <c r="D181">
        <f t="shared" si="12"/>
        <v>4</v>
      </c>
      <c r="E181">
        <f t="shared" si="13"/>
        <v>4</v>
      </c>
      <c r="F181" t="str">
        <f>_xlfn.LET(_xlpm.count, _xlfn.XLOOKUP(B181,'CL.SOL5--20251227'!I:I,'CL.SOL5--20251227'!L:L), IF(_xlpm.count=E181,"-", _xlpm.count))</f>
        <v>-</v>
      </c>
      <c r="G181" t="str">
        <f t="shared" si="14"/>
        <v>P-22122-S1PL-Rev0-004</v>
      </c>
      <c r="H181" t="str">
        <f>_xlfn.LET(_xlpm.rev, _xlfn.XLOOKUP(B181,'CL.SOL5--20251227'!I:I,'CL.SOL5--20251227'!K:K), IF(_xlpm.rev=C181, "-", _xlpm.rev))</f>
        <v>-</v>
      </c>
      <c r="I181">
        <v>180</v>
      </c>
      <c r="J181" t="str">
        <f>_xlfn.XLOOKUP(B181,'CL.SOL5--20251227'!I:I,'CL.SOL5--20251227'!H:H)</f>
        <v>P-22122-1.1/2"-S1PL-HC1</v>
      </c>
    </row>
    <row r="182" spans="1:10" hidden="1">
      <c r="A182" t="s">
        <v>559</v>
      </c>
      <c r="B182" t="str">
        <f t="shared" si="10"/>
        <v>P-22123</v>
      </c>
      <c r="C182" t="str">
        <f t="shared" si="11"/>
        <v>0</v>
      </c>
      <c r="D182">
        <f t="shared" si="12"/>
        <v>1</v>
      </c>
      <c r="E182">
        <f t="shared" si="13"/>
        <v>4</v>
      </c>
      <c r="F182" t="str">
        <f>_xlfn.LET(_xlpm.count, _xlfn.XLOOKUP(B182,'CL.SOL5--20251227'!I:I,'CL.SOL5--20251227'!L:L), IF(_xlpm.count=E182,"-", _xlpm.count))</f>
        <v>-</v>
      </c>
      <c r="G182" t="str">
        <f t="shared" si="14"/>
        <v>P-22123-S1P4-Rev0-001</v>
      </c>
      <c r="H182" t="str">
        <f>_xlfn.LET(_xlpm.rev, _xlfn.XLOOKUP(B182,'CL.SOL5--20251227'!I:I,'CL.SOL5--20251227'!K:K), IF(_xlpm.rev=C182, "-", _xlpm.rev))</f>
        <v>-</v>
      </c>
      <c r="I182">
        <v>181</v>
      </c>
      <c r="J182" t="str">
        <f>_xlfn.XLOOKUP(B182,'CL.SOL5--20251227'!I:I,'CL.SOL5--20251227'!H:H)</f>
        <v>P-22123-1"-S1P4</v>
      </c>
    </row>
    <row r="183" spans="1:10" hidden="1">
      <c r="A183" t="s">
        <v>560</v>
      </c>
      <c r="B183" t="str">
        <f t="shared" si="10"/>
        <v>P-22123</v>
      </c>
      <c r="C183" t="str">
        <f t="shared" si="11"/>
        <v>0</v>
      </c>
      <c r="D183">
        <f t="shared" si="12"/>
        <v>2</v>
      </c>
      <c r="E183">
        <f t="shared" si="13"/>
        <v>4</v>
      </c>
      <c r="F183" t="str">
        <f>_xlfn.LET(_xlpm.count, _xlfn.XLOOKUP(B183,'CL.SOL5--20251227'!I:I,'CL.SOL5--20251227'!L:L), IF(_xlpm.count=E183,"-", _xlpm.count))</f>
        <v>-</v>
      </c>
      <c r="G183" t="str">
        <f t="shared" si="14"/>
        <v>P-22123-S1P4-Rev0-002</v>
      </c>
      <c r="H183" t="str">
        <f>_xlfn.LET(_xlpm.rev, _xlfn.XLOOKUP(B183,'CL.SOL5--20251227'!I:I,'CL.SOL5--20251227'!K:K), IF(_xlpm.rev=C183, "-", _xlpm.rev))</f>
        <v>-</v>
      </c>
      <c r="I183">
        <v>182</v>
      </c>
      <c r="J183" t="str">
        <f>_xlfn.XLOOKUP(B183,'CL.SOL5--20251227'!I:I,'CL.SOL5--20251227'!H:H)</f>
        <v>P-22123-1"-S1P4</v>
      </c>
    </row>
    <row r="184" spans="1:10" hidden="1">
      <c r="A184" t="s">
        <v>561</v>
      </c>
      <c r="B184" t="str">
        <f t="shared" si="10"/>
        <v>P-22123</v>
      </c>
      <c r="C184" t="str">
        <f t="shared" si="11"/>
        <v>0</v>
      </c>
      <c r="D184">
        <f t="shared" si="12"/>
        <v>3</v>
      </c>
      <c r="E184">
        <f t="shared" si="13"/>
        <v>4</v>
      </c>
      <c r="F184" t="str">
        <f>_xlfn.LET(_xlpm.count, _xlfn.XLOOKUP(B184,'CL.SOL5--20251227'!I:I,'CL.SOL5--20251227'!L:L), IF(_xlpm.count=E184,"-", _xlpm.count))</f>
        <v>-</v>
      </c>
      <c r="G184" t="str">
        <f t="shared" si="14"/>
        <v>P-22123-S1P4-Rev0-003</v>
      </c>
      <c r="H184" t="str">
        <f>_xlfn.LET(_xlpm.rev, _xlfn.XLOOKUP(B184,'CL.SOL5--20251227'!I:I,'CL.SOL5--20251227'!K:K), IF(_xlpm.rev=C184, "-", _xlpm.rev))</f>
        <v>-</v>
      </c>
      <c r="I184">
        <v>183</v>
      </c>
      <c r="J184" t="str">
        <f>_xlfn.XLOOKUP(B184,'CL.SOL5--20251227'!I:I,'CL.SOL5--20251227'!H:H)</f>
        <v>P-22123-1"-S1P4</v>
      </c>
    </row>
    <row r="185" spans="1:10" hidden="1">
      <c r="A185" t="s">
        <v>562</v>
      </c>
      <c r="B185" t="str">
        <f t="shared" si="10"/>
        <v>P-22123</v>
      </c>
      <c r="C185" t="str">
        <f t="shared" si="11"/>
        <v>0</v>
      </c>
      <c r="D185">
        <f t="shared" si="12"/>
        <v>4</v>
      </c>
      <c r="E185">
        <f t="shared" si="13"/>
        <v>4</v>
      </c>
      <c r="F185" t="str">
        <f>_xlfn.LET(_xlpm.count, _xlfn.XLOOKUP(B185,'CL.SOL5--20251227'!I:I,'CL.SOL5--20251227'!L:L), IF(_xlpm.count=E185,"-", _xlpm.count))</f>
        <v>-</v>
      </c>
      <c r="G185" t="str">
        <f t="shared" si="14"/>
        <v>P-22123-S1P4-Rev0-004</v>
      </c>
      <c r="H185" t="str">
        <f>_xlfn.LET(_xlpm.rev, _xlfn.XLOOKUP(B185,'CL.SOL5--20251227'!I:I,'CL.SOL5--20251227'!K:K), IF(_xlpm.rev=C185, "-", _xlpm.rev))</f>
        <v>-</v>
      </c>
      <c r="I185">
        <v>184</v>
      </c>
      <c r="J185" t="str">
        <f>_xlfn.XLOOKUP(B185,'CL.SOL5--20251227'!I:I,'CL.SOL5--20251227'!H:H)</f>
        <v>P-22123-1"-S1P4</v>
      </c>
    </row>
    <row r="186" spans="1:10" hidden="1">
      <c r="A186" t="s">
        <v>563</v>
      </c>
      <c r="B186" t="str">
        <f t="shared" si="10"/>
        <v>P-22124</v>
      </c>
      <c r="C186" t="str">
        <f t="shared" si="11"/>
        <v>0</v>
      </c>
      <c r="D186">
        <f t="shared" si="12"/>
        <v>1</v>
      </c>
      <c r="E186">
        <f t="shared" si="13"/>
        <v>1</v>
      </c>
      <c r="F186" t="str">
        <f>_xlfn.LET(_xlpm.count, _xlfn.XLOOKUP(B186,'CL.SOL5--20251227'!I:I,'CL.SOL5--20251227'!L:L), IF(_xlpm.count=E186,"-", _xlpm.count))</f>
        <v>-</v>
      </c>
      <c r="G186" t="str">
        <f t="shared" si="14"/>
        <v>P-22124-S1PL-Rev0-001</v>
      </c>
      <c r="H186" t="str">
        <f>_xlfn.LET(_xlpm.rev, _xlfn.XLOOKUP(B186,'CL.SOL5--20251227'!I:I,'CL.SOL5--20251227'!K:K), IF(_xlpm.rev=C186, "-", _xlpm.rev))</f>
        <v>-</v>
      </c>
      <c r="I186">
        <v>185</v>
      </c>
      <c r="J186" t="str">
        <f>_xlfn.XLOOKUP(B186,'CL.SOL5--20251227'!I:I,'CL.SOL5--20251227'!H:H)</f>
        <v>P-22124-1.1/2"-S1PL-PP1</v>
      </c>
    </row>
    <row r="187" spans="1:10" hidden="1">
      <c r="A187" t="s">
        <v>564</v>
      </c>
      <c r="B187" t="str">
        <f t="shared" si="10"/>
        <v>P-22125</v>
      </c>
      <c r="C187" t="str">
        <f t="shared" si="11"/>
        <v>0</v>
      </c>
      <c r="D187">
        <f t="shared" si="12"/>
        <v>1</v>
      </c>
      <c r="E187">
        <f t="shared" si="13"/>
        <v>1</v>
      </c>
      <c r="F187" t="str">
        <f>_xlfn.LET(_xlpm.count, _xlfn.XLOOKUP(B187,'CL.SOL5--20251227'!I:I,'CL.SOL5--20251227'!L:L), IF(_xlpm.count=E187,"-", _xlpm.count))</f>
        <v>-</v>
      </c>
      <c r="G187" t="str">
        <f t="shared" si="14"/>
        <v>P-22125-S1PL-Rev0-001</v>
      </c>
      <c r="H187" t="str">
        <f>_xlfn.LET(_xlpm.rev, _xlfn.XLOOKUP(B187,'CL.SOL5--20251227'!I:I,'CL.SOL5--20251227'!K:K), IF(_xlpm.rev=C187, "-", _xlpm.rev))</f>
        <v>-</v>
      </c>
      <c r="I187">
        <v>186</v>
      </c>
      <c r="J187" t="str">
        <f>_xlfn.XLOOKUP(B187,'CL.SOL5--20251227'!I:I,'CL.SOL5--20251227'!H:H)</f>
        <v>P-22125-2"-S1PL-PP1</v>
      </c>
    </row>
    <row r="188" spans="1:10" hidden="1">
      <c r="A188" t="s">
        <v>565</v>
      </c>
      <c r="B188" t="str">
        <f t="shared" si="10"/>
        <v>P-22126</v>
      </c>
      <c r="C188" t="str">
        <f t="shared" si="11"/>
        <v>0</v>
      </c>
      <c r="D188">
        <f t="shared" si="12"/>
        <v>1</v>
      </c>
      <c r="E188">
        <f t="shared" si="13"/>
        <v>5</v>
      </c>
      <c r="F188" t="str">
        <f>_xlfn.LET(_xlpm.count, _xlfn.XLOOKUP(B188,'CL.SOL5--20251227'!I:I,'CL.SOL5--20251227'!L:L), IF(_xlpm.count=E188,"-", _xlpm.count))</f>
        <v>-</v>
      </c>
      <c r="G188" t="str">
        <f t="shared" si="14"/>
        <v>P-22126-S1PL-Rev0-001</v>
      </c>
      <c r="H188" t="str">
        <f>_xlfn.LET(_xlpm.rev, _xlfn.XLOOKUP(B188,'CL.SOL5--20251227'!I:I,'CL.SOL5--20251227'!K:K), IF(_xlpm.rev=C188, "-", _xlpm.rev))</f>
        <v>-</v>
      </c>
      <c r="I188">
        <v>187</v>
      </c>
      <c r="J188" t="str">
        <f>_xlfn.XLOOKUP(B188,'CL.SOL5--20251227'!I:I,'CL.SOL5--20251227'!H:H)</f>
        <v>P-22126-2"-S1PL</v>
      </c>
    </row>
    <row r="189" spans="1:10" hidden="1">
      <c r="A189" t="s">
        <v>566</v>
      </c>
      <c r="B189" t="str">
        <f t="shared" si="10"/>
        <v>P-22126</v>
      </c>
      <c r="C189" t="str">
        <f t="shared" si="11"/>
        <v>0</v>
      </c>
      <c r="D189">
        <f t="shared" si="12"/>
        <v>2</v>
      </c>
      <c r="E189">
        <f t="shared" si="13"/>
        <v>5</v>
      </c>
      <c r="F189" t="str">
        <f>_xlfn.LET(_xlpm.count, _xlfn.XLOOKUP(B189,'CL.SOL5--20251227'!I:I,'CL.SOL5--20251227'!L:L), IF(_xlpm.count=E189,"-", _xlpm.count))</f>
        <v>-</v>
      </c>
      <c r="G189" t="str">
        <f t="shared" si="14"/>
        <v>P-22126-S1PL-Rev0-002</v>
      </c>
      <c r="H189" t="str">
        <f>_xlfn.LET(_xlpm.rev, _xlfn.XLOOKUP(B189,'CL.SOL5--20251227'!I:I,'CL.SOL5--20251227'!K:K), IF(_xlpm.rev=C189, "-", _xlpm.rev))</f>
        <v>-</v>
      </c>
      <c r="I189">
        <v>188</v>
      </c>
      <c r="J189" t="str">
        <f>_xlfn.XLOOKUP(B189,'CL.SOL5--20251227'!I:I,'CL.SOL5--20251227'!H:H)</f>
        <v>P-22126-2"-S1PL</v>
      </c>
    </row>
    <row r="190" spans="1:10" hidden="1">
      <c r="A190" t="s">
        <v>567</v>
      </c>
      <c r="B190" t="str">
        <f t="shared" si="10"/>
        <v>P-22126</v>
      </c>
      <c r="C190" t="str">
        <f t="shared" si="11"/>
        <v>0</v>
      </c>
      <c r="D190">
        <f t="shared" si="12"/>
        <v>3</v>
      </c>
      <c r="E190">
        <f t="shared" si="13"/>
        <v>5</v>
      </c>
      <c r="F190" t="str">
        <f>_xlfn.LET(_xlpm.count, _xlfn.XLOOKUP(B190,'CL.SOL5--20251227'!I:I,'CL.SOL5--20251227'!L:L), IF(_xlpm.count=E190,"-", _xlpm.count))</f>
        <v>-</v>
      </c>
      <c r="G190" t="str">
        <f t="shared" si="14"/>
        <v>P-22126-S1PL-Rev0-003</v>
      </c>
      <c r="H190" t="str">
        <f>_xlfn.LET(_xlpm.rev, _xlfn.XLOOKUP(B190,'CL.SOL5--20251227'!I:I,'CL.SOL5--20251227'!K:K), IF(_xlpm.rev=C190, "-", _xlpm.rev))</f>
        <v>-</v>
      </c>
      <c r="I190">
        <v>189</v>
      </c>
      <c r="J190" t="str">
        <f>_xlfn.XLOOKUP(B190,'CL.SOL5--20251227'!I:I,'CL.SOL5--20251227'!H:H)</f>
        <v>P-22126-2"-S1PL</v>
      </c>
    </row>
    <row r="191" spans="1:10" hidden="1">
      <c r="A191" t="s">
        <v>568</v>
      </c>
      <c r="B191" t="str">
        <f t="shared" si="10"/>
        <v>P-22126</v>
      </c>
      <c r="C191" t="str">
        <f t="shared" si="11"/>
        <v>0</v>
      </c>
      <c r="D191">
        <f t="shared" si="12"/>
        <v>4</v>
      </c>
      <c r="E191">
        <f t="shared" si="13"/>
        <v>5</v>
      </c>
      <c r="F191" t="str">
        <f>_xlfn.LET(_xlpm.count, _xlfn.XLOOKUP(B191,'CL.SOL5--20251227'!I:I,'CL.SOL5--20251227'!L:L), IF(_xlpm.count=E191,"-", _xlpm.count))</f>
        <v>-</v>
      </c>
      <c r="G191" t="str">
        <f t="shared" si="14"/>
        <v>P-22126-S1PL-Rev0-004</v>
      </c>
      <c r="H191" t="str">
        <f>_xlfn.LET(_xlpm.rev, _xlfn.XLOOKUP(B191,'CL.SOL5--20251227'!I:I,'CL.SOL5--20251227'!K:K), IF(_xlpm.rev=C191, "-", _xlpm.rev))</f>
        <v>-</v>
      </c>
      <c r="I191">
        <v>190</v>
      </c>
      <c r="J191" t="str">
        <f>_xlfn.XLOOKUP(B191,'CL.SOL5--20251227'!I:I,'CL.SOL5--20251227'!H:H)</f>
        <v>P-22126-2"-S1PL</v>
      </c>
    </row>
    <row r="192" spans="1:10" hidden="1">
      <c r="A192" t="s">
        <v>569</v>
      </c>
      <c r="B192" t="str">
        <f t="shared" si="10"/>
        <v>P-22126</v>
      </c>
      <c r="C192" t="str">
        <f t="shared" si="11"/>
        <v>0</v>
      </c>
      <c r="D192">
        <f t="shared" si="12"/>
        <v>5</v>
      </c>
      <c r="E192">
        <f t="shared" si="13"/>
        <v>5</v>
      </c>
      <c r="F192" t="str">
        <f>_xlfn.LET(_xlpm.count, _xlfn.XLOOKUP(B192,'CL.SOL5--20251227'!I:I,'CL.SOL5--20251227'!L:L), IF(_xlpm.count=E192,"-", _xlpm.count))</f>
        <v>-</v>
      </c>
      <c r="G192" t="str">
        <f t="shared" si="14"/>
        <v>P-22126-S1PL-Rev0-005</v>
      </c>
      <c r="H192" t="str">
        <f>_xlfn.LET(_xlpm.rev, _xlfn.XLOOKUP(B192,'CL.SOL5--20251227'!I:I,'CL.SOL5--20251227'!K:K), IF(_xlpm.rev=C192, "-", _xlpm.rev))</f>
        <v>-</v>
      </c>
      <c r="I192">
        <v>191</v>
      </c>
      <c r="J192" t="str">
        <f>_xlfn.XLOOKUP(B192,'CL.SOL5--20251227'!I:I,'CL.SOL5--20251227'!H:H)</f>
        <v>P-22126-2"-S1PL</v>
      </c>
    </row>
    <row r="193" spans="1:10" hidden="1">
      <c r="A193" t="s">
        <v>570</v>
      </c>
      <c r="B193" t="str">
        <f t="shared" si="10"/>
        <v>P-22127</v>
      </c>
      <c r="C193" t="str">
        <f t="shared" si="11"/>
        <v>0</v>
      </c>
      <c r="D193">
        <f t="shared" si="12"/>
        <v>1</v>
      </c>
      <c r="E193">
        <f t="shared" si="13"/>
        <v>1</v>
      </c>
      <c r="F193" t="str">
        <f>_xlfn.LET(_xlpm.count, _xlfn.XLOOKUP(B193,'CL.SOL5--20251227'!I:I,'CL.SOL5--20251227'!L:L), IF(_xlpm.count=E193,"-", _xlpm.count))</f>
        <v>-</v>
      </c>
      <c r="G193" t="str">
        <f t="shared" si="14"/>
        <v>P-22127-S1PL-Rev0-001</v>
      </c>
      <c r="H193" t="str">
        <f>_xlfn.LET(_xlpm.rev, _xlfn.XLOOKUP(B193,'CL.SOL5--20251227'!I:I,'CL.SOL5--20251227'!K:K), IF(_xlpm.rev=C193, "-", _xlpm.rev))</f>
        <v>-</v>
      </c>
      <c r="I193">
        <v>192</v>
      </c>
      <c r="J193" t="str">
        <f>_xlfn.XLOOKUP(B193,'CL.SOL5--20251227'!I:I,'CL.SOL5--20251227'!H:H)</f>
        <v>P-22127-1"-S1PL-PP1</v>
      </c>
    </row>
    <row r="194" spans="1:10" hidden="1">
      <c r="A194" t="s">
        <v>571</v>
      </c>
      <c r="B194" t="str">
        <f t="shared" si="10"/>
        <v>P-22128</v>
      </c>
      <c r="C194" t="str">
        <f t="shared" si="11"/>
        <v>0</v>
      </c>
      <c r="D194">
        <f t="shared" si="12"/>
        <v>1</v>
      </c>
      <c r="E194">
        <f t="shared" si="13"/>
        <v>2</v>
      </c>
      <c r="F194" t="str">
        <f>_xlfn.LET(_xlpm.count, _xlfn.XLOOKUP(B194,'CL.SOL5--20251227'!I:I,'CL.SOL5--20251227'!L:L), IF(_xlpm.count=E194,"-", _xlpm.count))</f>
        <v>-</v>
      </c>
      <c r="G194" t="str">
        <f t="shared" si="14"/>
        <v>P-22128-S1PL-Rev0-001</v>
      </c>
      <c r="H194" t="str">
        <f>_xlfn.LET(_xlpm.rev, _xlfn.XLOOKUP(B194,'CL.SOL5--20251227'!I:I,'CL.SOL5--20251227'!K:K), IF(_xlpm.rev=C194, "-", _xlpm.rev))</f>
        <v>-</v>
      </c>
      <c r="I194">
        <v>193</v>
      </c>
      <c r="J194" t="str">
        <f>_xlfn.XLOOKUP(B194,'CL.SOL5--20251227'!I:I,'CL.SOL5--20251227'!H:H)</f>
        <v>P-22128-1"-S1PL</v>
      </c>
    </row>
    <row r="195" spans="1:10" hidden="1">
      <c r="A195" t="s">
        <v>572</v>
      </c>
      <c r="B195" t="str">
        <f t="shared" ref="B195:B258" si="15">_xlfn.LET(_xlpm.pos,IF(ISNUMBER(FIND("TRIM",A195)), 3, 2), _xlfn.TEXTBEFORE(A195, "-", _xlpm.pos))</f>
        <v>P-22128</v>
      </c>
      <c r="C195" t="str">
        <f t="shared" ref="C195:C258" si="16">_xlfn.TEXTBEFORE(_xlfn.TEXTAFTER(A195,"-Rev"), "-")</f>
        <v>0</v>
      </c>
      <c r="D195">
        <f t="shared" ref="D195:D258" si="17">VALUE(_xlfn.TEXTBEFORE(_xlfn.TEXTAFTER(A195, "-", -1), "."))</f>
        <v>2</v>
      </c>
      <c r="E195">
        <f t="shared" ref="E195:E258" si="18">_xlfn.MAXIFS(D:D,B:B,B195)</f>
        <v>2</v>
      </c>
      <c r="F195" t="str">
        <f>_xlfn.LET(_xlpm.count, _xlfn.XLOOKUP(B195,'CL.SOL5--20251227'!I:I,'CL.SOL5--20251227'!L:L), IF(_xlpm.count=E195,"-", _xlpm.count))</f>
        <v>-</v>
      </c>
      <c r="G195" t="str">
        <f t="shared" ref="G195:G258" si="19">_xlfn.TEXTBEFORE(A195,".")</f>
        <v>P-22128-S1PL-Rev0-002</v>
      </c>
      <c r="H195" t="str">
        <f>_xlfn.LET(_xlpm.rev, _xlfn.XLOOKUP(B195,'CL.SOL5--20251227'!I:I,'CL.SOL5--20251227'!K:K), IF(_xlpm.rev=C195, "-", _xlpm.rev))</f>
        <v>-</v>
      </c>
      <c r="I195">
        <v>194</v>
      </c>
      <c r="J195" t="str">
        <f>_xlfn.XLOOKUP(B195,'CL.SOL5--20251227'!I:I,'CL.SOL5--20251227'!H:H)</f>
        <v>P-22128-1"-S1PL</v>
      </c>
    </row>
    <row r="196" spans="1:10" hidden="1">
      <c r="A196" t="s">
        <v>573</v>
      </c>
      <c r="B196" t="str">
        <f t="shared" si="15"/>
        <v>P-22129</v>
      </c>
      <c r="C196" t="str">
        <f t="shared" si="16"/>
        <v>0</v>
      </c>
      <c r="D196">
        <f t="shared" si="17"/>
        <v>1</v>
      </c>
      <c r="E196">
        <f t="shared" si="18"/>
        <v>1</v>
      </c>
      <c r="F196" t="str">
        <f>_xlfn.LET(_xlpm.count, _xlfn.XLOOKUP(B196,'CL.SOL5--20251227'!I:I,'CL.SOL5--20251227'!L:L), IF(_xlpm.count=E196,"-", _xlpm.count))</f>
        <v>-</v>
      </c>
      <c r="G196" t="str">
        <f t="shared" si="19"/>
        <v>P-22129-S1PL-Rev0-001</v>
      </c>
      <c r="H196" t="str">
        <f>_xlfn.LET(_xlpm.rev, _xlfn.XLOOKUP(B196,'CL.SOL5--20251227'!I:I,'CL.SOL5--20251227'!K:K), IF(_xlpm.rev=C196, "-", _xlpm.rev))</f>
        <v>-</v>
      </c>
      <c r="I196">
        <v>195</v>
      </c>
      <c r="J196" t="str">
        <f>_xlfn.XLOOKUP(B196,'CL.SOL5--20251227'!I:I,'CL.SOL5--20251227'!H:H)</f>
        <v>P-22129-1"-S1PL</v>
      </c>
    </row>
    <row r="197" spans="1:10" hidden="1">
      <c r="A197" t="s">
        <v>574</v>
      </c>
      <c r="B197" t="str">
        <f t="shared" si="15"/>
        <v>P-22201</v>
      </c>
      <c r="C197" t="str">
        <f t="shared" si="16"/>
        <v>0</v>
      </c>
      <c r="D197">
        <f t="shared" si="17"/>
        <v>1</v>
      </c>
      <c r="E197">
        <f t="shared" si="18"/>
        <v>1</v>
      </c>
      <c r="F197" t="str">
        <f>_xlfn.LET(_xlpm.count, _xlfn.XLOOKUP(B197,'CL.SOL5--20251227'!I:I,'CL.SOL5--20251227'!L:L), IF(_xlpm.count=E197,"-", _xlpm.count))</f>
        <v>-</v>
      </c>
      <c r="G197" t="str">
        <f t="shared" si="19"/>
        <v>P-22201-S1PL-Rev0-001</v>
      </c>
      <c r="H197" t="str">
        <f>_xlfn.LET(_xlpm.rev, _xlfn.XLOOKUP(B197,'CL.SOL5--20251227'!I:I,'CL.SOL5--20251227'!K:K), IF(_xlpm.rev=C197, "-", _xlpm.rev))</f>
        <v>-</v>
      </c>
      <c r="I197">
        <v>196</v>
      </c>
      <c r="J197" t="str">
        <f>_xlfn.XLOOKUP(B197,'CL.SOL5--20251227'!I:I,'CL.SOL5--20251227'!H:H)</f>
        <v>P-22201-6"-S1PL-HC1</v>
      </c>
    </row>
    <row r="198" spans="1:10" hidden="1">
      <c r="A198" t="s">
        <v>575</v>
      </c>
      <c r="B198" t="str">
        <f t="shared" si="15"/>
        <v>P-22202</v>
      </c>
      <c r="C198" t="str">
        <f t="shared" si="16"/>
        <v>0</v>
      </c>
      <c r="D198">
        <f t="shared" si="17"/>
        <v>1</v>
      </c>
      <c r="E198">
        <f t="shared" si="18"/>
        <v>1</v>
      </c>
      <c r="F198" t="str">
        <f>_xlfn.LET(_xlpm.count, _xlfn.XLOOKUP(B198,'CL.SOL5--20251227'!I:I,'CL.SOL5--20251227'!L:L), IF(_xlpm.count=E198,"-", _xlpm.count))</f>
        <v>-</v>
      </c>
      <c r="G198" t="str">
        <f t="shared" si="19"/>
        <v>P-22202-S1PL-Rev0-001</v>
      </c>
      <c r="H198" t="str">
        <f>_xlfn.LET(_xlpm.rev, _xlfn.XLOOKUP(B198,'CL.SOL5--20251227'!I:I,'CL.SOL5--20251227'!K:K), IF(_xlpm.rev=C198, "-", _xlpm.rev))</f>
        <v>-</v>
      </c>
      <c r="I198">
        <v>197</v>
      </c>
      <c r="J198" t="str">
        <f>_xlfn.XLOOKUP(B198,'CL.SOL5--20251227'!I:I,'CL.SOL5--20251227'!H:H)</f>
        <v>P-22202-10"-S1PL-HC1</v>
      </c>
    </row>
    <row r="199" spans="1:10" hidden="1">
      <c r="A199" t="s">
        <v>576</v>
      </c>
      <c r="B199" t="str">
        <f t="shared" si="15"/>
        <v>P-22203</v>
      </c>
      <c r="C199" t="str">
        <f t="shared" si="16"/>
        <v>0</v>
      </c>
      <c r="D199">
        <f t="shared" si="17"/>
        <v>1</v>
      </c>
      <c r="E199">
        <f t="shared" si="18"/>
        <v>2</v>
      </c>
      <c r="F199" t="str">
        <f>_xlfn.LET(_xlpm.count, _xlfn.XLOOKUP(B199,'CL.SOL5--20251227'!I:I,'CL.SOL5--20251227'!L:L), IF(_xlpm.count=E199,"-", _xlpm.count))</f>
        <v>-</v>
      </c>
      <c r="G199" t="str">
        <f t="shared" si="19"/>
        <v>P-22203-S1PL-Rev0-001</v>
      </c>
      <c r="H199" t="str">
        <f>_xlfn.LET(_xlpm.rev, _xlfn.XLOOKUP(B199,'CL.SOL5--20251227'!I:I,'CL.SOL5--20251227'!K:K), IF(_xlpm.rev=C199, "-", _xlpm.rev))</f>
        <v>-</v>
      </c>
      <c r="I199">
        <v>198</v>
      </c>
      <c r="J199" t="str">
        <f>_xlfn.XLOOKUP(B199,'CL.SOL5--20251227'!I:I,'CL.SOL5--20251227'!H:H)</f>
        <v>P-22203-2"-S1PL-HC1</v>
      </c>
    </row>
    <row r="200" spans="1:10" hidden="1">
      <c r="A200" t="s">
        <v>577</v>
      </c>
      <c r="B200" t="str">
        <f t="shared" si="15"/>
        <v>P-22203</v>
      </c>
      <c r="C200" t="str">
        <f t="shared" si="16"/>
        <v>0</v>
      </c>
      <c r="D200">
        <f t="shared" si="17"/>
        <v>2</v>
      </c>
      <c r="E200">
        <f t="shared" si="18"/>
        <v>2</v>
      </c>
      <c r="F200" t="str">
        <f>_xlfn.LET(_xlpm.count, _xlfn.XLOOKUP(B200,'CL.SOL5--20251227'!I:I,'CL.SOL5--20251227'!L:L), IF(_xlpm.count=E200,"-", _xlpm.count))</f>
        <v>-</v>
      </c>
      <c r="G200" t="str">
        <f t="shared" si="19"/>
        <v>P-22203-S1PL-Rev0-002</v>
      </c>
      <c r="H200" t="str">
        <f>_xlfn.LET(_xlpm.rev, _xlfn.XLOOKUP(B200,'CL.SOL5--20251227'!I:I,'CL.SOL5--20251227'!K:K), IF(_xlpm.rev=C200, "-", _xlpm.rev))</f>
        <v>-</v>
      </c>
      <c r="I200">
        <v>199</v>
      </c>
      <c r="J200" t="str">
        <f>_xlfn.XLOOKUP(B200,'CL.SOL5--20251227'!I:I,'CL.SOL5--20251227'!H:H)</f>
        <v>P-22203-2"-S1PL-HC1</v>
      </c>
    </row>
    <row r="201" spans="1:10" hidden="1">
      <c r="A201" t="s">
        <v>578</v>
      </c>
      <c r="B201" t="str">
        <f t="shared" si="15"/>
        <v>P-22204</v>
      </c>
      <c r="C201" t="str">
        <f t="shared" si="16"/>
        <v>0</v>
      </c>
      <c r="D201">
        <f t="shared" si="17"/>
        <v>1</v>
      </c>
      <c r="E201">
        <f t="shared" si="18"/>
        <v>1</v>
      </c>
      <c r="F201" t="str">
        <f>_xlfn.LET(_xlpm.count, _xlfn.XLOOKUP(B201,'CL.SOL5--20251227'!I:I,'CL.SOL5--20251227'!L:L), IF(_xlpm.count=E201,"-", _xlpm.count))</f>
        <v>-</v>
      </c>
      <c r="G201" t="str">
        <f t="shared" si="19"/>
        <v>P-22204-S1PL-Rev0-001</v>
      </c>
      <c r="H201" t="str">
        <f>_xlfn.LET(_xlpm.rev, _xlfn.XLOOKUP(B201,'CL.SOL5--20251227'!I:I,'CL.SOL5--20251227'!K:K), IF(_xlpm.rev=C201, "-", _xlpm.rev))</f>
        <v>-</v>
      </c>
      <c r="I201">
        <v>200</v>
      </c>
      <c r="J201" t="str">
        <f>_xlfn.XLOOKUP(B201,'CL.SOL5--20251227'!I:I,'CL.SOL5--20251227'!H:H)</f>
        <v>P-22204-2"-S1PL-HC1</v>
      </c>
    </row>
    <row r="202" spans="1:10" hidden="1">
      <c r="A202" t="s">
        <v>579</v>
      </c>
      <c r="B202" t="str">
        <f t="shared" si="15"/>
        <v>P-22205</v>
      </c>
      <c r="C202" t="str">
        <f t="shared" si="16"/>
        <v>0</v>
      </c>
      <c r="D202">
        <f t="shared" si="17"/>
        <v>1</v>
      </c>
      <c r="E202">
        <f t="shared" si="18"/>
        <v>1</v>
      </c>
      <c r="F202" t="str">
        <f>_xlfn.LET(_xlpm.count, _xlfn.XLOOKUP(B202,'CL.SOL5--20251227'!I:I,'CL.SOL5--20251227'!L:L), IF(_xlpm.count=E202,"-", _xlpm.count))</f>
        <v>-</v>
      </c>
      <c r="G202" t="str">
        <f t="shared" si="19"/>
        <v>P-22205-S1PL-Rev0-001</v>
      </c>
      <c r="H202" t="str">
        <f>_xlfn.LET(_xlpm.rev, _xlfn.XLOOKUP(B202,'CL.SOL5--20251227'!I:I,'CL.SOL5--20251227'!K:K), IF(_xlpm.rev=C202, "-", _xlpm.rev))</f>
        <v>-</v>
      </c>
      <c r="I202">
        <v>201</v>
      </c>
      <c r="J202" t="str">
        <f>_xlfn.XLOOKUP(B202,'CL.SOL5--20251227'!I:I,'CL.SOL5--20251227'!H:H)</f>
        <v>P-22205-2"-S1PL-HC1</v>
      </c>
    </row>
    <row r="203" spans="1:10" hidden="1">
      <c r="A203" t="s">
        <v>580</v>
      </c>
      <c r="B203" t="str">
        <f t="shared" si="15"/>
        <v>P-22206</v>
      </c>
      <c r="C203" t="str">
        <f t="shared" si="16"/>
        <v>0</v>
      </c>
      <c r="D203">
        <f t="shared" si="17"/>
        <v>1</v>
      </c>
      <c r="E203">
        <f t="shared" si="18"/>
        <v>4</v>
      </c>
      <c r="F203" t="str">
        <f>_xlfn.LET(_xlpm.count, _xlfn.XLOOKUP(B203,'CL.SOL5--20251227'!I:I,'CL.SOL5--20251227'!L:L), IF(_xlpm.count=E203,"-", _xlpm.count))</f>
        <v>-</v>
      </c>
      <c r="G203" t="str">
        <f t="shared" si="19"/>
        <v>P-22206-S1PL-Rev0-001</v>
      </c>
      <c r="H203" t="str">
        <f>_xlfn.LET(_xlpm.rev, _xlfn.XLOOKUP(B203,'CL.SOL5--20251227'!I:I,'CL.SOL5--20251227'!K:K), IF(_xlpm.rev=C203, "-", _xlpm.rev))</f>
        <v>-</v>
      </c>
      <c r="I203">
        <v>202</v>
      </c>
      <c r="J203" t="str">
        <f>_xlfn.XLOOKUP(B203,'CL.SOL5--20251227'!I:I,'CL.SOL5--20251227'!H:H)</f>
        <v>P-22206-1.1/2"-S1PL-HC1</v>
      </c>
    </row>
    <row r="204" spans="1:10" hidden="1">
      <c r="A204" t="s">
        <v>581</v>
      </c>
      <c r="B204" t="str">
        <f t="shared" si="15"/>
        <v>P-22206</v>
      </c>
      <c r="C204" t="str">
        <f t="shared" si="16"/>
        <v>0</v>
      </c>
      <c r="D204">
        <f t="shared" si="17"/>
        <v>2</v>
      </c>
      <c r="E204">
        <f t="shared" si="18"/>
        <v>4</v>
      </c>
      <c r="F204" t="str">
        <f>_xlfn.LET(_xlpm.count, _xlfn.XLOOKUP(B204,'CL.SOL5--20251227'!I:I,'CL.SOL5--20251227'!L:L), IF(_xlpm.count=E204,"-", _xlpm.count))</f>
        <v>-</v>
      </c>
      <c r="G204" t="str">
        <f t="shared" si="19"/>
        <v>P-22206-S1PL-Rev0-002</v>
      </c>
      <c r="H204" t="str">
        <f>_xlfn.LET(_xlpm.rev, _xlfn.XLOOKUP(B204,'CL.SOL5--20251227'!I:I,'CL.SOL5--20251227'!K:K), IF(_xlpm.rev=C204, "-", _xlpm.rev))</f>
        <v>-</v>
      </c>
      <c r="I204">
        <v>203</v>
      </c>
      <c r="J204" t="str">
        <f>_xlfn.XLOOKUP(B204,'CL.SOL5--20251227'!I:I,'CL.SOL5--20251227'!H:H)</f>
        <v>P-22206-1.1/2"-S1PL-HC1</v>
      </c>
    </row>
    <row r="205" spans="1:10" hidden="1">
      <c r="A205" t="s">
        <v>582</v>
      </c>
      <c r="B205" t="str">
        <f t="shared" si="15"/>
        <v>P-22206</v>
      </c>
      <c r="C205" t="str">
        <f t="shared" si="16"/>
        <v>0</v>
      </c>
      <c r="D205">
        <f t="shared" si="17"/>
        <v>3</v>
      </c>
      <c r="E205">
        <f t="shared" si="18"/>
        <v>4</v>
      </c>
      <c r="F205" t="str">
        <f>_xlfn.LET(_xlpm.count, _xlfn.XLOOKUP(B205,'CL.SOL5--20251227'!I:I,'CL.SOL5--20251227'!L:L), IF(_xlpm.count=E205,"-", _xlpm.count))</f>
        <v>-</v>
      </c>
      <c r="G205" t="str">
        <f t="shared" si="19"/>
        <v>P-22206-S1PL-Rev0-003</v>
      </c>
      <c r="H205" t="str">
        <f>_xlfn.LET(_xlpm.rev, _xlfn.XLOOKUP(B205,'CL.SOL5--20251227'!I:I,'CL.SOL5--20251227'!K:K), IF(_xlpm.rev=C205, "-", _xlpm.rev))</f>
        <v>-</v>
      </c>
      <c r="I205">
        <v>204</v>
      </c>
      <c r="J205" t="str">
        <f>_xlfn.XLOOKUP(B205,'CL.SOL5--20251227'!I:I,'CL.SOL5--20251227'!H:H)</f>
        <v>P-22206-1.1/2"-S1PL-HC1</v>
      </c>
    </row>
    <row r="206" spans="1:10" hidden="1">
      <c r="A206" t="s">
        <v>583</v>
      </c>
      <c r="B206" t="str">
        <f t="shared" si="15"/>
        <v>P-22206</v>
      </c>
      <c r="C206" t="str">
        <f t="shared" si="16"/>
        <v>0</v>
      </c>
      <c r="D206">
        <f t="shared" si="17"/>
        <v>4</v>
      </c>
      <c r="E206">
        <f t="shared" si="18"/>
        <v>4</v>
      </c>
      <c r="F206" t="str">
        <f>_xlfn.LET(_xlpm.count, _xlfn.XLOOKUP(B206,'CL.SOL5--20251227'!I:I,'CL.SOL5--20251227'!L:L), IF(_xlpm.count=E206,"-", _xlpm.count))</f>
        <v>-</v>
      </c>
      <c r="G206" t="str">
        <f t="shared" si="19"/>
        <v>P-22206-S1PL-Rev0-004</v>
      </c>
      <c r="H206" t="str">
        <f>_xlfn.LET(_xlpm.rev, _xlfn.XLOOKUP(B206,'CL.SOL5--20251227'!I:I,'CL.SOL5--20251227'!K:K), IF(_xlpm.rev=C206, "-", _xlpm.rev))</f>
        <v>-</v>
      </c>
      <c r="I206">
        <v>205</v>
      </c>
      <c r="J206" t="str">
        <f>_xlfn.XLOOKUP(B206,'CL.SOL5--20251227'!I:I,'CL.SOL5--20251227'!H:H)</f>
        <v>P-22206-1.1/2"-S1PL-HC1</v>
      </c>
    </row>
    <row r="207" spans="1:10" hidden="1">
      <c r="A207" t="s">
        <v>584</v>
      </c>
      <c r="B207" t="str">
        <f t="shared" si="15"/>
        <v>P-22207</v>
      </c>
      <c r="C207" t="str">
        <f t="shared" si="16"/>
        <v>0</v>
      </c>
      <c r="D207">
        <f t="shared" si="17"/>
        <v>1</v>
      </c>
      <c r="E207">
        <f t="shared" si="18"/>
        <v>2</v>
      </c>
      <c r="F207" t="str">
        <f>_xlfn.LET(_xlpm.count, _xlfn.XLOOKUP(B207,'CL.SOL5--20251227'!I:I,'CL.SOL5--20251227'!L:L), IF(_xlpm.count=E207,"-", _xlpm.count))</f>
        <v>-</v>
      </c>
      <c r="G207" t="str">
        <f t="shared" si="19"/>
        <v>P-22207-S1PL-Rev0-001</v>
      </c>
      <c r="H207" t="str">
        <f>_xlfn.LET(_xlpm.rev, _xlfn.XLOOKUP(B207,'CL.SOL5--20251227'!I:I,'CL.SOL5--20251227'!K:K), IF(_xlpm.rev=C207, "-", _xlpm.rev))</f>
        <v>-</v>
      </c>
      <c r="I207">
        <v>206</v>
      </c>
      <c r="J207" t="str">
        <f>_xlfn.XLOOKUP(B207,'CL.SOL5--20251227'!I:I,'CL.SOL5--20251227'!H:H)</f>
        <v>P-22207-1.1/2"-S1PL-HC1</v>
      </c>
    </row>
    <row r="208" spans="1:10" hidden="1">
      <c r="A208" t="s">
        <v>585</v>
      </c>
      <c r="B208" t="str">
        <f t="shared" si="15"/>
        <v>P-22207</v>
      </c>
      <c r="C208" t="str">
        <f t="shared" si="16"/>
        <v>0</v>
      </c>
      <c r="D208">
        <f t="shared" si="17"/>
        <v>2</v>
      </c>
      <c r="E208">
        <f t="shared" si="18"/>
        <v>2</v>
      </c>
      <c r="F208" t="str">
        <f>_xlfn.LET(_xlpm.count, _xlfn.XLOOKUP(B208,'CL.SOL5--20251227'!I:I,'CL.SOL5--20251227'!L:L), IF(_xlpm.count=E208,"-", _xlpm.count))</f>
        <v>-</v>
      </c>
      <c r="G208" t="str">
        <f t="shared" si="19"/>
        <v>P-22207-S1PL-Rev0-002</v>
      </c>
      <c r="H208" t="str">
        <f>_xlfn.LET(_xlpm.rev, _xlfn.XLOOKUP(B208,'CL.SOL5--20251227'!I:I,'CL.SOL5--20251227'!K:K), IF(_xlpm.rev=C208, "-", _xlpm.rev))</f>
        <v>-</v>
      </c>
      <c r="I208">
        <v>207</v>
      </c>
      <c r="J208" t="str">
        <f>_xlfn.XLOOKUP(B208,'CL.SOL5--20251227'!I:I,'CL.SOL5--20251227'!H:H)</f>
        <v>P-22207-1.1/2"-S1PL-HC1</v>
      </c>
    </row>
    <row r="209" spans="1:10" hidden="1">
      <c r="A209" t="s">
        <v>586</v>
      </c>
      <c r="B209" t="str">
        <f t="shared" si="15"/>
        <v>P-22208</v>
      </c>
      <c r="C209" t="str">
        <f t="shared" si="16"/>
        <v>0</v>
      </c>
      <c r="D209">
        <f t="shared" si="17"/>
        <v>1</v>
      </c>
      <c r="E209">
        <f t="shared" si="18"/>
        <v>1</v>
      </c>
      <c r="F209" t="str">
        <f>_xlfn.LET(_xlpm.count, _xlfn.XLOOKUP(B209,'CL.SOL5--20251227'!I:I,'CL.SOL5--20251227'!L:L), IF(_xlpm.count=E209,"-", _xlpm.count))</f>
        <v>-</v>
      </c>
      <c r="G209" t="str">
        <f t="shared" si="19"/>
        <v>P-22208-S1PL-Rev0-001</v>
      </c>
      <c r="H209" t="str">
        <f>_xlfn.LET(_xlpm.rev, _xlfn.XLOOKUP(B209,'CL.SOL5--20251227'!I:I,'CL.SOL5--20251227'!K:K), IF(_xlpm.rev=C209, "-", _xlpm.rev))</f>
        <v>-</v>
      </c>
      <c r="I209">
        <v>208</v>
      </c>
      <c r="J209" t="str">
        <f>_xlfn.XLOOKUP(B209,'CL.SOL5--20251227'!I:I,'CL.SOL5--20251227'!H:H)</f>
        <v>P-22208-3/4"-S1PL-HC1</v>
      </c>
    </row>
    <row r="210" spans="1:10" hidden="1">
      <c r="A210" t="s">
        <v>587</v>
      </c>
      <c r="B210" t="str">
        <f t="shared" si="15"/>
        <v>P-22209</v>
      </c>
      <c r="C210" t="str">
        <f t="shared" si="16"/>
        <v>0</v>
      </c>
      <c r="D210">
        <f t="shared" si="17"/>
        <v>1</v>
      </c>
      <c r="E210">
        <f t="shared" si="18"/>
        <v>1</v>
      </c>
      <c r="F210" t="str">
        <f>_xlfn.LET(_xlpm.count, _xlfn.XLOOKUP(B210,'CL.SOL5--20251227'!I:I,'CL.SOL5--20251227'!L:L), IF(_xlpm.count=E210,"-", _xlpm.count))</f>
        <v>-</v>
      </c>
      <c r="G210" t="str">
        <f t="shared" si="19"/>
        <v>P-22209-S1PL-Rev0-001</v>
      </c>
      <c r="H210" t="str">
        <f>_xlfn.LET(_xlpm.rev, _xlfn.XLOOKUP(B210,'CL.SOL5--20251227'!I:I,'CL.SOL5--20251227'!K:K), IF(_xlpm.rev=C210, "-", _xlpm.rev))</f>
        <v>-</v>
      </c>
      <c r="I210">
        <v>209</v>
      </c>
      <c r="J210" t="str">
        <f>_xlfn.XLOOKUP(B210,'CL.SOL5--20251227'!I:I,'CL.SOL5--20251227'!H:H)</f>
        <v>P-22209-3/4"-S1PL-HC1</v>
      </c>
    </row>
    <row r="211" spans="1:10" hidden="1">
      <c r="A211" t="s">
        <v>588</v>
      </c>
      <c r="B211" t="str">
        <f t="shared" si="15"/>
        <v>P-22216</v>
      </c>
      <c r="C211" t="str">
        <f t="shared" si="16"/>
        <v>0</v>
      </c>
      <c r="D211">
        <f t="shared" si="17"/>
        <v>1</v>
      </c>
      <c r="E211">
        <f t="shared" si="18"/>
        <v>7</v>
      </c>
      <c r="F211" t="str">
        <f>_xlfn.LET(_xlpm.count, _xlfn.XLOOKUP(B211,'CL.SOL5--20251227'!I:I,'CL.SOL5--20251227'!L:L), IF(_xlpm.count=E211,"-", _xlpm.count))</f>
        <v>-</v>
      </c>
      <c r="G211" t="str">
        <f t="shared" si="19"/>
        <v>P-22216-S1PL-Rev0-001</v>
      </c>
      <c r="H211" t="str">
        <f>_xlfn.LET(_xlpm.rev, _xlfn.XLOOKUP(B211,'CL.SOL5--20251227'!I:I,'CL.SOL5--20251227'!K:K), IF(_xlpm.rev=C211, "-", _xlpm.rev))</f>
        <v>-</v>
      </c>
      <c r="I211">
        <v>210</v>
      </c>
      <c r="J211" t="str">
        <f>_xlfn.XLOOKUP(B211,'CL.SOL5--20251227'!I:I,'CL.SOL5--20251227'!H:H)</f>
        <v>P-22216-1.1/2"-S1PL</v>
      </c>
    </row>
    <row r="212" spans="1:10" hidden="1">
      <c r="A212" t="s">
        <v>589</v>
      </c>
      <c r="B212" t="str">
        <f t="shared" si="15"/>
        <v>P-22216</v>
      </c>
      <c r="C212" t="str">
        <f t="shared" si="16"/>
        <v>0</v>
      </c>
      <c r="D212">
        <f t="shared" si="17"/>
        <v>2</v>
      </c>
      <c r="E212">
        <f t="shared" si="18"/>
        <v>7</v>
      </c>
      <c r="F212" t="str">
        <f>_xlfn.LET(_xlpm.count, _xlfn.XLOOKUP(B212,'CL.SOL5--20251227'!I:I,'CL.SOL5--20251227'!L:L), IF(_xlpm.count=E212,"-", _xlpm.count))</f>
        <v>-</v>
      </c>
      <c r="G212" t="str">
        <f t="shared" si="19"/>
        <v>P-22216-S1PL-Rev0-002</v>
      </c>
      <c r="H212" t="str">
        <f>_xlfn.LET(_xlpm.rev, _xlfn.XLOOKUP(B212,'CL.SOL5--20251227'!I:I,'CL.SOL5--20251227'!K:K), IF(_xlpm.rev=C212, "-", _xlpm.rev))</f>
        <v>-</v>
      </c>
      <c r="I212">
        <v>211</v>
      </c>
      <c r="J212" t="str">
        <f>_xlfn.XLOOKUP(B212,'CL.SOL5--20251227'!I:I,'CL.SOL5--20251227'!H:H)</f>
        <v>P-22216-1.1/2"-S1PL</v>
      </c>
    </row>
    <row r="213" spans="1:10" hidden="1">
      <c r="A213" t="s">
        <v>590</v>
      </c>
      <c r="B213" t="str">
        <f t="shared" si="15"/>
        <v>P-22216</v>
      </c>
      <c r="C213" t="str">
        <f t="shared" si="16"/>
        <v>0</v>
      </c>
      <c r="D213">
        <f t="shared" si="17"/>
        <v>3</v>
      </c>
      <c r="E213">
        <f t="shared" si="18"/>
        <v>7</v>
      </c>
      <c r="F213" t="str">
        <f>_xlfn.LET(_xlpm.count, _xlfn.XLOOKUP(B213,'CL.SOL5--20251227'!I:I,'CL.SOL5--20251227'!L:L), IF(_xlpm.count=E213,"-", _xlpm.count))</f>
        <v>-</v>
      </c>
      <c r="G213" t="str">
        <f t="shared" si="19"/>
        <v>P-22216-S1PL-Rev0-003</v>
      </c>
      <c r="H213" t="str">
        <f>_xlfn.LET(_xlpm.rev, _xlfn.XLOOKUP(B213,'CL.SOL5--20251227'!I:I,'CL.SOL5--20251227'!K:K), IF(_xlpm.rev=C213, "-", _xlpm.rev))</f>
        <v>-</v>
      </c>
      <c r="I213">
        <v>212</v>
      </c>
      <c r="J213" t="str">
        <f>_xlfn.XLOOKUP(B213,'CL.SOL5--20251227'!I:I,'CL.SOL5--20251227'!H:H)</f>
        <v>P-22216-1.1/2"-S1PL</v>
      </c>
    </row>
    <row r="214" spans="1:10" hidden="1">
      <c r="A214" t="s">
        <v>591</v>
      </c>
      <c r="B214" t="str">
        <f t="shared" si="15"/>
        <v>P-22216</v>
      </c>
      <c r="C214" t="str">
        <f t="shared" si="16"/>
        <v>0</v>
      </c>
      <c r="D214">
        <f t="shared" si="17"/>
        <v>4</v>
      </c>
      <c r="E214">
        <f t="shared" si="18"/>
        <v>7</v>
      </c>
      <c r="F214" t="str">
        <f>_xlfn.LET(_xlpm.count, _xlfn.XLOOKUP(B214,'CL.SOL5--20251227'!I:I,'CL.SOL5--20251227'!L:L), IF(_xlpm.count=E214,"-", _xlpm.count))</f>
        <v>-</v>
      </c>
      <c r="G214" t="str">
        <f t="shared" si="19"/>
        <v>P-22216-S1PL-Rev0-004</v>
      </c>
      <c r="H214" t="str">
        <f>_xlfn.LET(_xlpm.rev, _xlfn.XLOOKUP(B214,'CL.SOL5--20251227'!I:I,'CL.SOL5--20251227'!K:K), IF(_xlpm.rev=C214, "-", _xlpm.rev))</f>
        <v>-</v>
      </c>
      <c r="I214">
        <v>213</v>
      </c>
      <c r="J214" t="str">
        <f>_xlfn.XLOOKUP(B214,'CL.SOL5--20251227'!I:I,'CL.SOL5--20251227'!H:H)</f>
        <v>P-22216-1.1/2"-S1PL</v>
      </c>
    </row>
    <row r="215" spans="1:10" hidden="1">
      <c r="A215" t="s">
        <v>592</v>
      </c>
      <c r="B215" t="str">
        <f t="shared" si="15"/>
        <v>P-22216</v>
      </c>
      <c r="C215" t="str">
        <f t="shared" si="16"/>
        <v>0</v>
      </c>
      <c r="D215">
        <f t="shared" si="17"/>
        <v>5</v>
      </c>
      <c r="E215">
        <f t="shared" si="18"/>
        <v>7</v>
      </c>
      <c r="F215" t="str">
        <f>_xlfn.LET(_xlpm.count, _xlfn.XLOOKUP(B215,'CL.SOL5--20251227'!I:I,'CL.SOL5--20251227'!L:L), IF(_xlpm.count=E215,"-", _xlpm.count))</f>
        <v>-</v>
      </c>
      <c r="G215" t="str">
        <f t="shared" si="19"/>
        <v>P-22216-S1PL-Rev0-005</v>
      </c>
      <c r="H215" t="str">
        <f>_xlfn.LET(_xlpm.rev, _xlfn.XLOOKUP(B215,'CL.SOL5--20251227'!I:I,'CL.SOL5--20251227'!K:K), IF(_xlpm.rev=C215, "-", _xlpm.rev))</f>
        <v>-</v>
      </c>
      <c r="I215">
        <v>214</v>
      </c>
      <c r="J215" t="str">
        <f>_xlfn.XLOOKUP(B215,'CL.SOL5--20251227'!I:I,'CL.SOL5--20251227'!H:H)</f>
        <v>P-22216-1.1/2"-S1PL</v>
      </c>
    </row>
    <row r="216" spans="1:10" hidden="1">
      <c r="A216" t="s">
        <v>593</v>
      </c>
      <c r="B216" t="str">
        <f t="shared" si="15"/>
        <v>P-22216</v>
      </c>
      <c r="C216" t="str">
        <f t="shared" si="16"/>
        <v>0</v>
      </c>
      <c r="D216">
        <f t="shared" si="17"/>
        <v>6</v>
      </c>
      <c r="E216">
        <f t="shared" si="18"/>
        <v>7</v>
      </c>
      <c r="F216" t="str">
        <f>_xlfn.LET(_xlpm.count, _xlfn.XLOOKUP(B216,'CL.SOL5--20251227'!I:I,'CL.SOL5--20251227'!L:L), IF(_xlpm.count=E216,"-", _xlpm.count))</f>
        <v>-</v>
      </c>
      <c r="G216" t="str">
        <f t="shared" si="19"/>
        <v>P-22216-S1PL-Rev0-006</v>
      </c>
      <c r="H216" t="str">
        <f>_xlfn.LET(_xlpm.rev, _xlfn.XLOOKUP(B216,'CL.SOL5--20251227'!I:I,'CL.SOL5--20251227'!K:K), IF(_xlpm.rev=C216, "-", _xlpm.rev))</f>
        <v>-</v>
      </c>
      <c r="I216">
        <v>215</v>
      </c>
      <c r="J216" t="str">
        <f>_xlfn.XLOOKUP(B216,'CL.SOL5--20251227'!I:I,'CL.SOL5--20251227'!H:H)</f>
        <v>P-22216-1.1/2"-S1PL</v>
      </c>
    </row>
    <row r="217" spans="1:10" hidden="1">
      <c r="A217" t="s">
        <v>594</v>
      </c>
      <c r="B217" t="str">
        <f t="shared" si="15"/>
        <v>P-22216</v>
      </c>
      <c r="C217" t="str">
        <f t="shared" si="16"/>
        <v>0</v>
      </c>
      <c r="D217">
        <f t="shared" si="17"/>
        <v>7</v>
      </c>
      <c r="E217">
        <f t="shared" si="18"/>
        <v>7</v>
      </c>
      <c r="F217" t="str">
        <f>_xlfn.LET(_xlpm.count, _xlfn.XLOOKUP(B217,'CL.SOL5--20251227'!I:I,'CL.SOL5--20251227'!L:L), IF(_xlpm.count=E217,"-", _xlpm.count))</f>
        <v>-</v>
      </c>
      <c r="G217" t="str">
        <f t="shared" si="19"/>
        <v>P-22216-S1PL-Rev0-007</v>
      </c>
      <c r="H217" t="str">
        <f>_xlfn.LET(_xlpm.rev, _xlfn.XLOOKUP(B217,'CL.SOL5--20251227'!I:I,'CL.SOL5--20251227'!K:K), IF(_xlpm.rev=C217, "-", _xlpm.rev))</f>
        <v>-</v>
      </c>
      <c r="I217">
        <v>216</v>
      </c>
      <c r="J217" t="str">
        <f>_xlfn.XLOOKUP(B217,'CL.SOL5--20251227'!I:I,'CL.SOL5--20251227'!H:H)</f>
        <v>P-22216-1.1/2"-S1PL</v>
      </c>
    </row>
    <row r="218" spans="1:10" hidden="1">
      <c r="A218" t="s">
        <v>595</v>
      </c>
      <c r="B218" t="str">
        <f t="shared" si="15"/>
        <v>P-22218</v>
      </c>
      <c r="C218" t="str">
        <f t="shared" si="16"/>
        <v>0</v>
      </c>
      <c r="D218">
        <f t="shared" si="17"/>
        <v>1</v>
      </c>
      <c r="E218">
        <f t="shared" si="18"/>
        <v>1</v>
      </c>
      <c r="F218" t="str">
        <f>_xlfn.LET(_xlpm.count, _xlfn.XLOOKUP(B218,'CL.SOL5--20251227'!I:I,'CL.SOL5--20251227'!L:L), IF(_xlpm.count=E218,"-", _xlpm.count))</f>
        <v>-</v>
      </c>
      <c r="G218" t="str">
        <f t="shared" si="19"/>
        <v>P-22218-S1PL-Rev0-001</v>
      </c>
      <c r="H218" t="str">
        <f>_xlfn.LET(_xlpm.rev, _xlfn.XLOOKUP(B218,'CL.SOL5--20251227'!I:I,'CL.SOL5--20251227'!K:K), IF(_xlpm.rev=C218, "-", _xlpm.rev))</f>
        <v>-</v>
      </c>
      <c r="I218">
        <v>217</v>
      </c>
      <c r="J218" t="str">
        <f>_xlfn.XLOOKUP(B218,'CL.SOL5--20251227'!I:I,'CL.SOL5--20251227'!H:H)</f>
        <v>P-22218-1"-S1PL</v>
      </c>
    </row>
    <row r="219" spans="1:10" hidden="1">
      <c r="A219" t="s">
        <v>596</v>
      </c>
      <c r="B219" t="str">
        <f t="shared" si="15"/>
        <v>P-22230</v>
      </c>
      <c r="C219" t="str">
        <f t="shared" si="16"/>
        <v>0</v>
      </c>
      <c r="D219">
        <f t="shared" si="17"/>
        <v>1</v>
      </c>
      <c r="E219">
        <f t="shared" si="18"/>
        <v>4</v>
      </c>
      <c r="F219" t="str">
        <f>_xlfn.LET(_xlpm.count, _xlfn.XLOOKUP(B219,'CL.SOL5--20251227'!I:I,'CL.SOL5--20251227'!L:L), IF(_xlpm.count=E219,"-", _xlpm.count))</f>
        <v>-</v>
      </c>
      <c r="G219" t="str">
        <f t="shared" si="19"/>
        <v>P-22230-S1PL-Rev0-001</v>
      </c>
      <c r="H219" t="str">
        <f>_xlfn.LET(_xlpm.rev, _xlfn.XLOOKUP(B219,'CL.SOL5--20251227'!I:I,'CL.SOL5--20251227'!K:K), IF(_xlpm.rev=C219, "-", _xlpm.rev))</f>
        <v>-</v>
      </c>
      <c r="I219">
        <v>218</v>
      </c>
      <c r="J219" t="str">
        <f>_xlfn.XLOOKUP(B219,'CL.SOL5--20251227'!I:I,'CL.SOL5--20251227'!H:H)</f>
        <v>P-22230-2"-S1PL</v>
      </c>
    </row>
    <row r="220" spans="1:10" hidden="1">
      <c r="A220" t="s">
        <v>597</v>
      </c>
      <c r="B220" t="str">
        <f t="shared" si="15"/>
        <v>P-22230</v>
      </c>
      <c r="C220" t="str">
        <f t="shared" si="16"/>
        <v>0</v>
      </c>
      <c r="D220">
        <f t="shared" si="17"/>
        <v>2</v>
      </c>
      <c r="E220">
        <f t="shared" si="18"/>
        <v>4</v>
      </c>
      <c r="F220" t="str">
        <f>_xlfn.LET(_xlpm.count, _xlfn.XLOOKUP(B220,'CL.SOL5--20251227'!I:I,'CL.SOL5--20251227'!L:L), IF(_xlpm.count=E220,"-", _xlpm.count))</f>
        <v>-</v>
      </c>
      <c r="G220" t="str">
        <f t="shared" si="19"/>
        <v>P-22230-S1PL-Rev0-002</v>
      </c>
      <c r="H220" t="str">
        <f>_xlfn.LET(_xlpm.rev, _xlfn.XLOOKUP(B220,'CL.SOL5--20251227'!I:I,'CL.SOL5--20251227'!K:K), IF(_xlpm.rev=C220, "-", _xlpm.rev))</f>
        <v>-</v>
      </c>
      <c r="I220">
        <v>219</v>
      </c>
      <c r="J220" t="str">
        <f>_xlfn.XLOOKUP(B220,'CL.SOL5--20251227'!I:I,'CL.SOL5--20251227'!H:H)</f>
        <v>P-22230-2"-S1PL</v>
      </c>
    </row>
    <row r="221" spans="1:10" hidden="1">
      <c r="A221" t="s">
        <v>598</v>
      </c>
      <c r="B221" t="str">
        <f t="shared" si="15"/>
        <v>P-22230</v>
      </c>
      <c r="C221" t="str">
        <f t="shared" si="16"/>
        <v>0</v>
      </c>
      <c r="D221">
        <f t="shared" si="17"/>
        <v>3</v>
      </c>
      <c r="E221">
        <f t="shared" si="18"/>
        <v>4</v>
      </c>
      <c r="F221" t="str">
        <f>_xlfn.LET(_xlpm.count, _xlfn.XLOOKUP(B221,'CL.SOL5--20251227'!I:I,'CL.SOL5--20251227'!L:L), IF(_xlpm.count=E221,"-", _xlpm.count))</f>
        <v>-</v>
      </c>
      <c r="G221" t="str">
        <f t="shared" si="19"/>
        <v>P-22230-S1PL-Rev0-003</v>
      </c>
      <c r="H221" t="str">
        <f>_xlfn.LET(_xlpm.rev, _xlfn.XLOOKUP(B221,'CL.SOL5--20251227'!I:I,'CL.SOL5--20251227'!K:K), IF(_xlpm.rev=C221, "-", _xlpm.rev))</f>
        <v>-</v>
      </c>
      <c r="I221">
        <v>220</v>
      </c>
      <c r="J221" t="str">
        <f>_xlfn.XLOOKUP(B221,'CL.SOL5--20251227'!I:I,'CL.SOL5--20251227'!H:H)</f>
        <v>P-22230-2"-S1PL</v>
      </c>
    </row>
    <row r="222" spans="1:10" hidden="1">
      <c r="A222" t="s">
        <v>599</v>
      </c>
      <c r="B222" t="str">
        <f t="shared" si="15"/>
        <v>P-22230</v>
      </c>
      <c r="C222" t="str">
        <f t="shared" si="16"/>
        <v>0</v>
      </c>
      <c r="D222">
        <f t="shared" si="17"/>
        <v>4</v>
      </c>
      <c r="E222">
        <f t="shared" si="18"/>
        <v>4</v>
      </c>
      <c r="F222" t="str">
        <f>_xlfn.LET(_xlpm.count, _xlfn.XLOOKUP(B222,'CL.SOL5--20251227'!I:I,'CL.SOL5--20251227'!L:L), IF(_xlpm.count=E222,"-", _xlpm.count))</f>
        <v>-</v>
      </c>
      <c r="G222" t="str">
        <f t="shared" si="19"/>
        <v>P-22230-S1PL-Rev0-004</v>
      </c>
      <c r="H222" t="str">
        <f>_xlfn.LET(_xlpm.rev, _xlfn.XLOOKUP(B222,'CL.SOL5--20251227'!I:I,'CL.SOL5--20251227'!K:K), IF(_xlpm.rev=C222, "-", _xlpm.rev))</f>
        <v>-</v>
      </c>
      <c r="I222">
        <v>221</v>
      </c>
      <c r="J222" t="str">
        <f>_xlfn.XLOOKUP(B222,'CL.SOL5--20251227'!I:I,'CL.SOL5--20251227'!H:H)</f>
        <v>P-22230-2"-S1PL</v>
      </c>
    </row>
    <row r="223" spans="1:10" hidden="1">
      <c r="A223" t="s">
        <v>600</v>
      </c>
      <c r="B223" t="str">
        <f t="shared" si="15"/>
        <v>P-22231</v>
      </c>
      <c r="C223" t="str">
        <f t="shared" si="16"/>
        <v>0</v>
      </c>
      <c r="D223">
        <f t="shared" si="17"/>
        <v>1</v>
      </c>
      <c r="E223">
        <f t="shared" si="18"/>
        <v>2</v>
      </c>
      <c r="F223" t="str">
        <f>_xlfn.LET(_xlpm.count, _xlfn.XLOOKUP(B223,'CL.SOL5--20251227'!I:I,'CL.SOL5--20251227'!L:L), IF(_xlpm.count=E223,"-", _xlpm.count))</f>
        <v>-</v>
      </c>
      <c r="G223" t="str">
        <f t="shared" si="19"/>
        <v>P-22231-S1PL-Rev0-001</v>
      </c>
      <c r="H223" t="str">
        <f>_xlfn.LET(_xlpm.rev, _xlfn.XLOOKUP(B223,'CL.SOL5--20251227'!I:I,'CL.SOL5--20251227'!K:K), IF(_xlpm.rev=C223, "-", _xlpm.rev))</f>
        <v>-</v>
      </c>
      <c r="I223">
        <v>222</v>
      </c>
      <c r="J223" t="str">
        <f>_xlfn.XLOOKUP(B223,'CL.SOL5--20251227'!I:I,'CL.SOL5--20251227'!H:H)</f>
        <v>P-22231-1"-S1PL</v>
      </c>
    </row>
    <row r="224" spans="1:10" hidden="1">
      <c r="A224" t="s">
        <v>601</v>
      </c>
      <c r="B224" t="str">
        <f t="shared" si="15"/>
        <v>P-22231</v>
      </c>
      <c r="C224" t="str">
        <f t="shared" si="16"/>
        <v>0</v>
      </c>
      <c r="D224">
        <f t="shared" si="17"/>
        <v>2</v>
      </c>
      <c r="E224">
        <f t="shared" si="18"/>
        <v>2</v>
      </c>
      <c r="F224" t="str">
        <f>_xlfn.LET(_xlpm.count, _xlfn.XLOOKUP(B224,'CL.SOL5--20251227'!I:I,'CL.SOL5--20251227'!L:L), IF(_xlpm.count=E224,"-", _xlpm.count))</f>
        <v>-</v>
      </c>
      <c r="G224" t="str">
        <f t="shared" si="19"/>
        <v>P-22231-S1PL-Rev0-002</v>
      </c>
      <c r="H224" t="str">
        <f>_xlfn.LET(_xlpm.rev, _xlfn.XLOOKUP(B224,'CL.SOL5--20251227'!I:I,'CL.SOL5--20251227'!K:K), IF(_xlpm.rev=C224, "-", _xlpm.rev))</f>
        <v>-</v>
      </c>
      <c r="I224">
        <v>223</v>
      </c>
      <c r="J224" t="str">
        <f>_xlfn.XLOOKUP(B224,'CL.SOL5--20251227'!I:I,'CL.SOL5--20251227'!H:H)</f>
        <v>P-22231-1"-S1PL</v>
      </c>
    </row>
    <row r="225" spans="1:10" hidden="1">
      <c r="A225" t="s">
        <v>602</v>
      </c>
      <c r="B225" t="str">
        <f t="shared" si="15"/>
        <v>P-22233</v>
      </c>
      <c r="C225" t="str">
        <f t="shared" si="16"/>
        <v>0</v>
      </c>
      <c r="D225">
        <f t="shared" si="17"/>
        <v>1</v>
      </c>
      <c r="E225">
        <f t="shared" si="18"/>
        <v>2</v>
      </c>
      <c r="F225" t="str">
        <f>_xlfn.LET(_xlpm.count, _xlfn.XLOOKUP(B225,'CL.SOL5--20251227'!I:I,'CL.SOL5--20251227'!L:L), IF(_xlpm.count=E225,"-", _xlpm.count))</f>
        <v>-</v>
      </c>
      <c r="G225" t="str">
        <f t="shared" si="19"/>
        <v>P-22233-S1PL-Rev0-001</v>
      </c>
      <c r="H225" t="str">
        <f>_xlfn.LET(_xlpm.rev, _xlfn.XLOOKUP(B225,'CL.SOL5--20251227'!I:I,'CL.SOL5--20251227'!K:K), IF(_xlpm.rev=C225, "-", _xlpm.rev))</f>
        <v>-</v>
      </c>
      <c r="I225">
        <v>224</v>
      </c>
      <c r="J225" t="str">
        <f>_xlfn.XLOOKUP(B225,'CL.SOL5--20251227'!I:I,'CL.SOL5--20251227'!H:H)</f>
        <v>P-22233-1"-S1PL</v>
      </c>
    </row>
    <row r="226" spans="1:10" hidden="1">
      <c r="A226" t="s">
        <v>603</v>
      </c>
      <c r="B226" t="str">
        <f t="shared" si="15"/>
        <v>P-22233</v>
      </c>
      <c r="C226" t="str">
        <f t="shared" si="16"/>
        <v>0</v>
      </c>
      <c r="D226">
        <f t="shared" si="17"/>
        <v>2</v>
      </c>
      <c r="E226">
        <f t="shared" si="18"/>
        <v>2</v>
      </c>
      <c r="F226" t="str">
        <f>_xlfn.LET(_xlpm.count, _xlfn.XLOOKUP(B226,'CL.SOL5--20251227'!I:I,'CL.SOL5--20251227'!L:L), IF(_xlpm.count=E226,"-", _xlpm.count))</f>
        <v>-</v>
      </c>
      <c r="G226" t="str">
        <f t="shared" si="19"/>
        <v>P-22233-S1PL-Rev0-002</v>
      </c>
      <c r="H226" t="str">
        <f>_xlfn.LET(_xlpm.rev, _xlfn.XLOOKUP(B226,'CL.SOL5--20251227'!I:I,'CL.SOL5--20251227'!K:K), IF(_xlpm.rev=C226, "-", _xlpm.rev))</f>
        <v>-</v>
      </c>
      <c r="I226">
        <v>225</v>
      </c>
      <c r="J226" t="str">
        <f>_xlfn.XLOOKUP(B226,'CL.SOL5--20251227'!I:I,'CL.SOL5--20251227'!H:H)</f>
        <v>P-22233-1"-S1PL</v>
      </c>
    </row>
    <row r="227" spans="1:10" hidden="1">
      <c r="A227" t="s">
        <v>604</v>
      </c>
      <c r="B227" t="str">
        <f t="shared" si="15"/>
        <v>P-22234</v>
      </c>
      <c r="C227" t="str">
        <f t="shared" si="16"/>
        <v>0</v>
      </c>
      <c r="D227">
        <f t="shared" si="17"/>
        <v>1</v>
      </c>
      <c r="E227">
        <f t="shared" si="18"/>
        <v>1</v>
      </c>
      <c r="F227" t="str">
        <f>_xlfn.LET(_xlpm.count, _xlfn.XLOOKUP(B227,'CL.SOL5--20251227'!I:I,'CL.SOL5--20251227'!L:L), IF(_xlpm.count=E227,"-", _xlpm.count))</f>
        <v>-</v>
      </c>
      <c r="G227" t="str">
        <f t="shared" si="19"/>
        <v>P-22234-S1PL-Rev0-001</v>
      </c>
      <c r="H227" t="str">
        <f>_xlfn.LET(_xlpm.rev, _xlfn.XLOOKUP(B227,'CL.SOL5--20251227'!I:I,'CL.SOL5--20251227'!K:K), IF(_xlpm.rev=C227, "-", _xlpm.rev))</f>
        <v>-</v>
      </c>
      <c r="I227">
        <v>226</v>
      </c>
      <c r="J227" t="str">
        <f>_xlfn.XLOOKUP(B227,'CL.SOL5--20251227'!I:I,'CL.SOL5--20251227'!H:H)</f>
        <v>P-22234-1"-S1PL</v>
      </c>
    </row>
    <row r="228" spans="1:10" hidden="1">
      <c r="A228" t="s">
        <v>605</v>
      </c>
      <c r="B228" t="str">
        <f t="shared" si="15"/>
        <v>P-22235</v>
      </c>
      <c r="C228" t="str">
        <f t="shared" si="16"/>
        <v>0</v>
      </c>
      <c r="D228">
        <f t="shared" si="17"/>
        <v>1</v>
      </c>
      <c r="E228">
        <f t="shared" si="18"/>
        <v>1</v>
      </c>
      <c r="F228" t="str">
        <f>_xlfn.LET(_xlpm.count, _xlfn.XLOOKUP(B228,'CL.SOL5--20251227'!I:I,'CL.SOL5--20251227'!L:L), IF(_xlpm.count=E228,"-", _xlpm.count))</f>
        <v>-</v>
      </c>
      <c r="G228" t="str">
        <f t="shared" si="19"/>
        <v>P-22235-S1P1-Rev0-001</v>
      </c>
      <c r="H228" t="str">
        <f>_xlfn.LET(_xlpm.rev, _xlfn.XLOOKUP(B228,'CL.SOL5--20251227'!I:I,'CL.SOL5--20251227'!K:K), IF(_xlpm.rev=C228, "-", _xlpm.rev))</f>
        <v>-</v>
      </c>
      <c r="I228">
        <v>227</v>
      </c>
      <c r="J228" t="str">
        <f>_xlfn.XLOOKUP(B228,'CL.SOL5--20251227'!I:I,'CL.SOL5--20251227'!H:H)</f>
        <v>P-22235-6"-S1P1</v>
      </c>
    </row>
    <row r="229" spans="1:10" hidden="1">
      <c r="A229" t="s">
        <v>606</v>
      </c>
      <c r="B229" t="str">
        <f t="shared" si="15"/>
        <v>PA-22361</v>
      </c>
      <c r="C229" t="str">
        <f t="shared" si="16"/>
        <v>0</v>
      </c>
      <c r="D229">
        <f t="shared" si="17"/>
        <v>1</v>
      </c>
      <c r="E229">
        <f t="shared" si="18"/>
        <v>2</v>
      </c>
      <c r="F229" t="str">
        <f>_xlfn.LET(_xlpm.count, _xlfn.XLOOKUP(B229,'CL.SOL5--20251227'!I:I,'CL.SOL5--20251227'!L:L), IF(_xlpm.count=E229,"-", _xlpm.count))</f>
        <v>-</v>
      </c>
      <c r="G229" t="str">
        <f t="shared" si="19"/>
        <v>PA-22361-C1A2-Rev0-001</v>
      </c>
      <c r="H229" t="str">
        <f>_xlfn.LET(_xlpm.rev, _xlfn.XLOOKUP(B229,'CL.SOL5--20251227'!I:I,'CL.SOL5--20251227'!K:K), IF(_xlpm.rev=C229, "-", _xlpm.rev))</f>
        <v>-</v>
      </c>
      <c r="I229">
        <v>228</v>
      </c>
      <c r="J229" t="str">
        <f>_xlfn.XLOOKUP(B229,'CL.SOL5--20251227'!I:I,'CL.SOL5--20251227'!H:H)</f>
        <v>PA-22361-2"-C1A2</v>
      </c>
    </row>
    <row r="230" spans="1:10" hidden="1">
      <c r="A230" t="s">
        <v>607</v>
      </c>
      <c r="B230" t="str">
        <f t="shared" si="15"/>
        <v>PA-22361</v>
      </c>
      <c r="C230" t="str">
        <f t="shared" si="16"/>
        <v>0</v>
      </c>
      <c r="D230">
        <f t="shared" si="17"/>
        <v>2</v>
      </c>
      <c r="E230">
        <f t="shared" si="18"/>
        <v>2</v>
      </c>
      <c r="F230" t="str">
        <f>_xlfn.LET(_xlpm.count, _xlfn.XLOOKUP(B230,'CL.SOL5--20251227'!I:I,'CL.SOL5--20251227'!L:L), IF(_xlpm.count=E230,"-", _xlpm.count))</f>
        <v>-</v>
      </c>
      <c r="G230" t="str">
        <f t="shared" si="19"/>
        <v>PA-22361-C1A2-Rev0-002</v>
      </c>
      <c r="H230" t="str">
        <f>_xlfn.LET(_xlpm.rev, _xlfn.XLOOKUP(B230,'CL.SOL5--20251227'!I:I,'CL.SOL5--20251227'!K:K), IF(_xlpm.rev=C230, "-", _xlpm.rev))</f>
        <v>-</v>
      </c>
      <c r="I230">
        <v>229</v>
      </c>
      <c r="J230" t="str">
        <f>_xlfn.XLOOKUP(B230,'CL.SOL5--20251227'!I:I,'CL.SOL5--20251227'!H:H)</f>
        <v>PA-22361-2"-C1A2</v>
      </c>
    </row>
    <row r="231" spans="1:10" hidden="1">
      <c r="A231" t="s">
        <v>608</v>
      </c>
      <c r="B231" t="str">
        <f t="shared" si="15"/>
        <v>PA-22362</v>
      </c>
      <c r="C231" t="str">
        <f t="shared" si="16"/>
        <v>0</v>
      </c>
      <c r="D231">
        <f t="shared" si="17"/>
        <v>1</v>
      </c>
      <c r="E231">
        <f t="shared" si="18"/>
        <v>1</v>
      </c>
      <c r="F231" t="str">
        <f>_xlfn.LET(_xlpm.count, _xlfn.XLOOKUP(B231,'CL.SOL5--20251227'!I:I,'CL.SOL5--20251227'!L:L), IF(_xlpm.count=E231,"-", _xlpm.count))</f>
        <v>-</v>
      </c>
      <c r="G231" t="str">
        <f t="shared" si="19"/>
        <v>PA-22362-C1A2-Rev0-001</v>
      </c>
      <c r="H231" t="str">
        <f>_xlfn.LET(_xlpm.rev, _xlfn.XLOOKUP(B231,'CL.SOL5--20251227'!I:I,'CL.SOL5--20251227'!K:K), IF(_xlpm.rev=C231, "-", _xlpm.rev))</f>
        <v>-</v>
      </c>
      <c r="I231">
        <v>230</v>
      </c>
      <c r="J231" t="str">
        <f>_xlfn.XLOOKUP(B231,'CL.SOL5--20251227'!I:I,'CL.SOL5--20251227'!H:H)</f>
        <v>PA-22362-1"-C1A2</v>
      </c>
    </row>
    <row r="232" spans="1:10" hidden="1">
      <c r="A232" t="s">
        <v>609</v>
      </c>
      <c r="B232" t="str">
        <f t="shared" si="15"/>
        <v>PA-22363</v>
      </c>
      <c r="C232" t="str">
        <f t="shared" si="16"/>
        <v>0</v>
      </c>
      <c r="D232">
        <f t="shared" si="17"/>
        <v>1</v>
      </c>
      <c r="E232">
        <f t="shared" si="18"/>
        <v>1</v>
      </c>
      <c r="F232" t="str">
        <f>_xlfn.LET(_xlpm.count, _xlfn.XLOOKUP(B232,'CL.SOL5--20251227'!I:I,'CL.SOL5--20251227'!L:L), IF(_xlpm.count=E232,"-", _xlpm.count))</f>
        <v>-</v>
      </c>
      <c r="G232" t="str">
        <f t="shared" si="19"/>
        <v>PA-22363-C1A2-Rev0-001</v>
      </c>
      <c r="H232" t="str">
        <f>_xlfn.LET(_xlpm.rev, _xlfn.XLOOKUP(B232,'CL.SOL5--20251227'!I:I,'CL.SOL5--20251227'!K:K), IF(_xlpm.rev=C232, "-", _xlpm.rev))</f>
        <v>-</v>
      </c>
      <c r="I232">
        <v>231</v>
      </c>
      <c r="J232" t="str">
        <f>_xlfn.XLOOKUP(B232,'CL.SOL5--20251227'!I:I,'CL.SOL5--20251227'!H:H)</f>
        <v>PA-22363-1"-C1A2</v>
      </c>
    </row>
    <row r="233" spans="1:10" hidden="1">
      <c r="A233" t="s">
        <v>610</v>
      </c>
      <c r="B233" t="str">
        <f t="shared" si="15"/>
        <v>PA-22364</v>
      </c>
      <c r="C233" t="str">
        <f t="shared" si="16"/>
        <v>0</v>
      </c>
      <c r="D233">
        <f t="shared" si="17"/>
        <v>1</v>
      </c>
      <c r="E233">
        <f t="shared" si="18"/>
        <v>1</v>
      </c>
      <c r="F233" t="str">
        <f>_xlfn.LET(_xlpm.count, _xlfn.XLOOKUP(B233,'CL.SOL5--20251227'!I:I,'CL.SOL5--20251227'!L:L), IF(_xlpm.count=E233,"-", _xlpm.count))</f>
        <v>-</v>
      </c>
      <c r="G233" t="str">
        <f t="shared" si="19"/>
        <v>PA-22364-C1A2-Rev0-001</v>
      </c>
      <c r="H233" t="str">
        <f>_xlfn.LET(_xlpm.rev, _xlfn.XLOOKUP(B233,'CL.SOL5--20251227'!I:I,'CL.SOL5--20251227'!K:K), IF(_xlpm.rev=C233, "-", _xlpm.rev))</f>
        <v>-</v>
      </c>
      <c r="I233">
        <v>232</v>
      </c>
      <c r="J233" t="str">
        <f>_xlfn.XLOOKUP(B233,'CL.SOL5--20251227'!I:I,'CL.SOL5--20251227'!H:H)</f>
        <v>PA-22364-1"-C1A2</v>
      </c>
    </row>
    <row r="234" spans="1:10" hidden="1">
      <c r="A234" t="s">
        <v>611</v>
      </c>
      <c r="B234" t="str">
        <f t="shared" si="15"/>
        <v>PA-22365</v>
      </c>
      <c r="C234" t="str">
        <f t="shared" si="16"/>
        <v>0</v>
      </c>
      <c r="D234">
        <f t="shared" si="17"/>
        <v>1</v>
      </c>
      <c r="E234">
        <f t="shared" si="18"/>
        <v>1</v>
      </c>
      <c r="F234" t="str">
        <f>_xlfn.LET(_xlpm.count, _xlfn.XLOOKUP(B234,'CL.SOL5--20251227'!I:I,'CL.SOL5--20251227'!L:L), IF(_xlpm.count=E234,"-", _xlpm.count))</f>
        <v>-</v>
      </c>
      <c r="G234" t="str">
        <f t="shared" si="19"/>
        <v>PA-22365-C1A2-Rev0-001</v>
      </c>
      <c r="H234" t="str">
        <f>_xlfn.LET(_xlpm.rev, _xlfn.XLOOKUP(B234,'CL.SOL5--20251227'!I:I,'CL.SOL5--20251227'!K:K), IF(_xlpm.rev=C234, "-", _xlpm.rev))</f>
        <v>-</v>
      </c>
      <c r="I234">
        <v>233</v>
      </c>
      <c r="J234" t="str">
        <f>_xlfn.XLOOKUP(B234,'CL.SOL5--20251227'!I:I,'CL.SOL5--20251227'!H:H)</f>
        <v>PA-22365-1"-C1A2</v>
      </c>
    </row>
    <row r="235" spans="1:10" hidden="1">
      <c r="A235" t="s">
        <v>612</v>
      </c>
      <c r="B235" t="str">
        <f t="shared" si="15"/>
        <v>PA-22366</v>
      </c>
      <c r="C235" t="str">
        <f t="shared" si="16"/>
        <v>0</v>
      </c>
      <c r="D235">
        <f t="shared" si="17"/>
        <v>1</v>
      </c>
      <c r="E235">
        <f t="shared" si="18"/>
        <v>1</v>
      </c>
      <c r="F235" t="str">
        <f>_xlfn.LET(_xlpm.count, _xlfn.XLOOKUP(B235,'CL.SOL5--20251227'!I:I,'CL.SOL5--20251227'!L:L), IF(_xlpm.count=E235,"-", _xlpm.count))</f>
        <v>-</v>
      </c>
      <c r="G235" t="str">
        <f t="shared" si="19"/>
        <v>PA-22366-C1A2-Rev0-001</v>
      </c>
      <c r="H235" t="str">
        <f>_xlfn.LET(_xlpm.rev, _xlfn.XLOOKUP(B235,'CL.SOL5--20251227'!I:I,'CL.SOL5--20251227'!K:K), IF(_xlpm.rev=C235, "-", _xlpm.rev))</f>
        <v>-</v>
      </c>
      <c r="I235">
        <v>234</v>
      </c>
      <c r="J235" t="str">
        <f>_xlfn.XLOOKUP(B235,'CL.SOL5--20251227'!I:I,'CL.SOL5--20251227'!H:H)</f>
        <v>PA-22366-1"-C1A2</v>
      </c>
    </row>
    <row r="236" spans="1:10" hidden="1">
      <c r="A236" t="s">
        <v>613</v>
      </c>
      <c r="B236" t="str">
        <f t="shared" si="15"/>
        <v>PA-22367</v>
      </c>
      <c r="C236" t="str">
        <f t="shared" si="16"/>
        <v>0</v>
      </c>
      <c r="D236">
        <f t="shared" si="17"/>
        <v>1</v>
      </c>
      <c r="E236">
        <f t="shared" si="18"/>
        <v>1</v>
      </c>
      <c r="F236" t="str">
        <f>_xlfn.LET(_xlpm.count, _xlfn.XLOOKUP(B236,'CL.SOL5--20251227'!I:I,'CL.SOL5--20251227'!L:L), IF(_xlpm.count=E236,"-", _xlpm.count))</f>
        <v>-</v>
      </c>
      <c r="G236" t="str">
        <f t="shared" si="19"/>
        <v>PA-22367-C1A2-Rev0-001</v>
      </c>
      <c r="H236" t="str">
        <f>_xlfn.LET(_xlpm.rev, _xlfn.XLOOKUP(B236,'CL.SOL5--20251227'!I:I,'CL.SOL5--20251227'!K:K), IF(_xlpm.rev=C236, "-", _xlpm.rev))</f>
        <v>-</v>
      </c>
      <c r="I236">
        <v>235</v>
      </c>
      <c r="J236" t="str">
        <f>_xlfn.XLOOKUP(B236,'CL.SOL5--20251227'!I:I,'CL.SOL5--20251227'!H:H)</f>
        <v>PA-22367-1"-C1A2</v>
      </c>
    </row>
    <row r="237" spans="1:10" hidden="1">
      <c r="A237" t="s">
        <v>614</v>
      </c>
      <c r="B237" t="str">
        <f t="shared" si="15"/>
        <v>PA-22368</v>
      </c>
      <c r="C237" t="str">
        <f t="shared" si="16"/>
        <v>0</v>
      </c>
      <c r="D237">
        <f t="shared" si="17"/>
        <v>1</v>
      </c>
      <c r="E237">
        <f t="shared" si="18"/>
        <v>1</v>
      </c>
      <c r="F237" t="str">
        <f>_xlfn.LET(_xlpm.count, _xlfn.XLOOKUP(B237,'CL.SOL5--20251227'!I:I,'CL.SOL5--20251227'!L:L), IF(_xlpm.count=E237,"-", _xlpm.count))</f>
        <v>-</v>
      </c>
      <c r="G237" t="str">
        <f t="shared" si="19"/>
        <v>PA-22368-C1A2-Rev0-001</v>
      </c>
      <c r="H237" t="str">
        <f>_xlfn.LET(_xlpm.rev, _xlfn.XLOOKUP(B237,'CL.SOL5--20251227'!I:I,'CL.SOL5--20251227'!K:K), IF(_xlpm.rev=C237, "-", _xlpm.rev))</f>
        <v>-</v>
      </c>
      <c r="I237">
        <v>236</v>
      </c>
      <c r="J237" t="str">
        <f>_xlfn.XLOOKUP(B237,'CL.SOL5--20251227'!I:I,'CL.SOL5--20251227'!H:H)</f>
        <v>PA-22368-1"-C1A2</v>
      </c>
    </row>
    <row r="238" spans="1:10" hidden="1">
      <c r="A238" t="s">
        <v>615</v>
      </c>
      <c r="B238" t="str">
        <f t="shared" si="15"/>
        <v>PW2-22101</v>
      </c>
      <c r="C238" t="str">
        <f t="shared" si="16"/>
        <v>0</v>
      </c>
      <c r="D238">
        <f t="shared" si="17"/>
        <v>1</v>
      </c>
      <c r="E238">
        <f t="shared" si="18"/>
        <v>1</v>
      </c>
      <c r="F238" t="str">
        <f>_xlfn.LET(_xlpm.count, _xlfn.XLOOKUP(B238,'CL.SOL5--20251227'!I:I,'CL.SOL5--20251227'!L:L), IF(_xlpm.count=E238,"-", _xlpm.count))</f>
        <v>-</v>
      </c>
      <c r="G238" t="str">
        <f t="shared" si="19"/>
        <v>PW2-22101-S1P4-Rev0-001</v>
      </c>
      <c r="H238" t="str">
        <f>_xlfn.LET(_xlpm.rev, _xlfn.XLOOKUP(B238,'CL.SOL5--20251227'!I:I,'CL.SOL5--20251227'!K:K), IF(_xlpm.rev=C238, "-", _xlpm.rev))</f>
        <v>-</v>
      </c>
      <c r="I238">
        <v>237</v>
      </c>
      <c r="J238" t="str">
        <f>_xlfn.XLOOKUP(B238,'CL.SOL5--20251227'!I:I,'CL.SOL5--20251227'!H:H)</f>
        <v>PW2-22101-1"-S1P4</v>
      </c>
    </row>
    <row r="239" spans="1:10" hidden="1">
      <c r="A239" t="s">
        <v>616</v>
      </c>
      <c r="B239" t="str">
        <f t="shared" si="15"/>
        <v>PW2-22371</v>
      </c>
      <c r="C239" t="str">
        <f t="shared" si="16"/>
        <v>0</v>
      </c>
      <c r="D239">
        <f t="shared" si="17"/>
        <v>1</v>
      </c>
      <c r="E239">
        <f t="shared" si="18"/>
        <v>3</v>
      </c>
      <c r="F239" t="str">
        <f>_xlfn.LET(_xlpm.count, _xlfn.XLOOKUP(B239,'CL.SOL5--20251227'!I:I,'CL.SOL5--20251227'!L:L), IF(_xlpm.count=E239,"-", _xlpm.count))</f>
        <v>-</v>
      </c>
      <c r="G239" t="str">
        <f t="shared" si="19"/>
        <v>PW2-22371-S1P4-Rev0-001</v>
      </c>
      <c r="H239" t="str">
        <f>_xlfn.LET(_xlpm.rev, _xlfn.XLOOKUP(B239,'CL.SOL5--20251227'!I:I,'CL.SOL5--20251227'!K:K), IF(_xlpm.rev=C239, "-", _xlpm.rev))</f>
        <v>-</v>
      </c>
      <c r="I239">
        <v>238</v>
      </c>
      <c r="J239" t="str">
        <f>_xlfn.XLOOKUP(B239,'CL.SOL5--20251227'!I:I,'CL.SOL5--20251227'!H:H)</f>
        <v>PW2-22371-2"-S1P4</v>
      </c>
    </row>
    <row r="240" spans="1:10" hidden="1">
      <c r="A240" t="s">
        <v>617</v>
      </c>
      <c r="B240" t="str">
        <f t="shared" si="15"/>
        <v>PW2-22371</v>
      </c>
      <c r="C240" t="str">
        <f t="shared" si="16"/>
        <v>0</v>
      </c>
      <c r="D240">
        <f t="shared" si="17"/>
        <v>2</v>
      </c>
      <c r="E240">
        <f t="shared" si="18"/>
        <v>3</v>
      </c>
      <c r="F240" t="str">
        <f>_xlfn.LET(_xlpm.count, _xlfn.XLOOKUP(B240,'CL.SOL5--20251227'!I:I,'CL.SOL5--20251227'!L:L), IF(_xlpm.count=E240,"-", _xlpm.count))</f>
        <v>-</v>
      </c>
      <c r="G240" t="str">
        <f t="shared" si="19"/>
        <v>PW2-22371-S1P4-Rev0-002</v>
      </c>
      <c r="H240" t="str">
        <f>_xlfn.LET(_xlpm.rev, _xlfn.XLOOKUP(B240,'CL.SOL5--20251227'!I:I,'CL.SOL5--20251227'!K:K), IF(_xlpm.rev=C240, "-", _xlpm.rev))</f>
        <v>-</v>
      </c>
      <c r="I240">
        <v>239</v>
      </c>
      <c r="J240" t="str">
        <f>_xlfn.XLOOKUP(B240,'CL.SOL5--20251227'!I:I,'CL.SOL5--20251227'!H:H)</f>
        <v>PW2-22371-2"-S1P4</v>
      </c>
    </row>
    <row r="241" spans="1:10" hidden="1">
      <c r="A241" t="s">
        <v>618</v>
      </c>
      <c r="B241" t="str">
        <f t="shared" si="15"/>
        <v>PW2-22371</v>
      </c>
      <c r="C241" t="str">
        <f t="shared" si="16"/>
        <v>0</v>
      </c>
      <c r="D241">
        <f t="shared" si="17"/>
        <v>3</v>
      </c>
      <c r="E241">
        <f t="shared" si="18"/>
        <v>3</v>
      </c>
      <c r="F241" t="str">
        <f>_xlfn.LET(_xlpm.count, _xlfn.XLOOKUP(B241,'CL.SOL5--20251227'!I:I,'CL.SOL5--20251227'!L:L), IF(_xlpm.count=E241,"-", _xlpm.count))</f>
        <v>-</v>
      </c>
      <c r="G241" t="str">
        <f t="shared" si="19"/>
        <v>PW2-22371-S1P4-Rev0-003</v>
      </c>
      <c r="H241" t="str">
        <f>_xlfn.LET(_xlpm.rev, _xlfn.XLOOKUP(B241,'CL.SOL5--20251227'!I:I,'CL.SOL5--20251227'!K:K), IF(_xlpm.rev=C241, "-", _xlpm.rev))</f>
        <v>-</v>
      </c>
      <c r="I241">
        <v>240</v>
      </c>
      <c r="J241" t="str">
        <f>_xlfn.XLOOKUP(B241,'CL.SOL5--20251227'!I:I,'CL.SOL5--20251227'!H:H)</f>
        <v>PW2-22371-2"-S1P4</v>
      </c>
    </row>
    <row r="242" spans="1:10" hidden="1">
      <c r="A242" t="s">
        <v>619</v>
      </c>
      <c r="B242" t="str">
        <f t="shared" si="15"/>
        <v>PW2-22372</v>
      </c>
      <c r="C242" t="str">
        <f t="shared" si="16"/>
        <v>0</v>
      </c>
      <c r="D242">
        <f t="shared" si="17"/>
        <v>1</v>
      </c>
      <c r="E242">
        <f t="shared" si="18"/>
        <v>1</v>
      </c>
      <c r="F242" t="str">
        <f>_xlfn.LET(_xlpm.count, _xlfn.XLOOKUP(B242,'CL.SOL5--20251227'!I:I,'CL.SOL5--20251227'!L:L), IF(_xlpm.count=E242,"-", _xlpm.count))</f>
        <v>-</v>
      </c>
      <c r="G242" t="str">
        <f t="shared" si="19"/>
        <v>PW2-22372-S1P4-Rev0-001</v>
      </c>
      <c r="H242" t="str">
        <f>_xlfn.LET(_xlpm.rev, _xlfn.XLOOKUP(B242,'CL.SOL5--20251227'!I:I,'CL.SOL5--20251227'!K:K), IF(_xlpm.rev=C242, "-", _xlpm.rev))</f>
        <v>-</v>
      </c>
      <c r="I242">
        <v>241</v>
      </c>
      <c r="J242" t="str">
        <f>_xlfn.XLOOKUP(B242,'CL.SOL5--20251227'!I:I,'CL.SOL5--20251227'!H:H)</f>
        <v>PW2-22372-1"-S1P4</v>
      </c>
    </row>
    <row r="243" spans="1:10" hidden="1">
      <c r="A243" t="s">
        <v>620</v>
      </c>
      <c r="B243" t="str">
        <f t="shared" si="15"/>
        <v>PW2-22373</v>
      </c>
      <c r="C243" t="str">
        <f t="shared" si="16"/>
        <v>0</v>
      </c>
      <c r="D243">
        <f t="shared" si="17"/>
        <v>1</v>
      </c>
      <c r="E243">
        <f t="shared" si="18"/>
        <v>1</v>
      </c>
      <c r="F243" t="str">
        <f>_xlfn.LET(_xlpm.count, _xlfn.XLOOKUP(B243,'CL.SOL5--20251227'!I:I,'CL.SOL5--20251227'!L:L), IF(_xlpm.count=E243,"-", _xlpm.count))</f>
        <v>-</v>
      </c>
      <c r="G243" t="str">
        <f t="shared" si="19"/>
        <v>PW2-22373-S1P4-Rev0-001</v>
      </c>
      <c r="H243" t="str">
        <f>_xlfn.LET(_xlpm.rev, _xlfn.XLOOKUP(B243,'CL.SOL5--20251227'!I:I,'CL.SOL5--20251227'!K:K), IF(_xlpm.rev=C243, "-", _xlpm.rev))</f>
        <v>-</v>
      </c>
      <c r="I243">
        <v>242</v>
      </c>
      <c r="J243" t="str">
        <f>_xlfn.XLOOKUP(B243,'CL.SOL5--20251227'!I:I,'CL.SOL5--20251227'!H:H)</f>
        <v>PW2-22373-1"-S1P4</v>
      </c>
    </row>
    <row r="244" spans="1:10" hidden="1">
      <c r="A244" t="s">
        <v>621</v>
      </c>
      <c r="B244" t="str">
        <f t="shared" si="15"/>
        <v>PW2-22374</v>
      </c>
      <c r="C244" t="str">
        <f t="shared" si="16"/>
        <v>0</v>
      </c>
      <c r="D244">
        <f t="shared" si="17"/>
        <v>1</v>
      </c>
      <c r="E244">
        <f t="shared" si="18"/>
        <v>1</v>
      </c>
      <c r="F244" t="str">
        <f>_xlfn.LET(_xlpm.count, _xlfn.XLOOKUP(B244,'CL.SOL5--20251227'!I:I,'CL.SOL5--20251227'!L:L), IF(_xlpm.count=E244,"-", _xlpm.count))</f>
        <v>-</v>
      </c>
      <c r="G244" t="str">
        <f t="shared" si="19"/>
        <v>PW2-22374-S1P4-Rev0-001</v>
      </c>
      <c r="H244" t="str">
        <f>_xlfn.LET(_xlpm.rev, _xlfn.XLOOKUP(B244,'CL.SOL5--20251227'!I:I,'CL.SOL5--20251227'!K:K), IF(_xlpm.rev=C244, "-", _xlpm.rev))</f>
        <v>-</v>
      </c>
      <c r="I244">
        <v>243</v>
      </c>
      <c r="J244" t="str">
        <f>_xlfn.XLOOKUP(B244,'CL.SOL5--20251227'!I:I,'CL.SOL5--20251227'!H:H)</f>
        <v>PW2-22374-1"-S1P4</v>
      </c>
    </row>
    <row r="245" spans="1:10" hidden="1">
      <c r="A245" t="s">
        <v>622</v>
      </c>
      <c r="B245" t="str">
        <f t="shared" si="15"/>
        <v>PW2-22375</v>
      </c>
      <c r="C245" t="str">
        <f t="shared" si="16"/>
        <v>0</v>
      </c>
      <c r="D245">
        <f t="shared" si="17"/>
        <v>1</v>
      </c>
      <c r="E245">
        <f t="shared" si="18"/>
        <v>1</v>
      </c>
      <c r="F245" t="str">
        <f>_xlfn.LET(_xlpm.count, _xlfn.XLOOKUP(B245,'CL.SOL5--20251227'!I:I,'CL.SOL5--20251227'!L:L), IF(_xlpm.count=E245,"-", _xlpm.count))</f>
        <v>-</v>
      </c>
      <c r="G245" t="str">
        <f t="shared" si="19"/>
        <v>PW2-22375-S1P4-Rev0-001</v>
      </c>
      <c r="H245" t="str">
        <f>_xlfn.LET(_xlpm.rev, _xlfn.XLOOKUP(B245,'CL.SOL5--20251227'!I:I,'CL.SOL5--20251227'!K:K), IF(_xlpm.rev=C245, "-", _xlpm.rev))</f>
        <v>-</v>
      </c>
      <c r="I245">
        <v>244</v>
      </c>
      <c r="J245" t="str">
        <f>_xlfn.XLOOKUP(B245,'CL.SOL5--20251227'!I:I,'CL.SOL5--20251227'!H:H)</f>
        <v>PW2-22375-1"-S1P4</v>
      </c>
    </row>
    <row r="246" spans="1:10" hidden="1">
      <c r="A246" t="s">
        <v>623</v>
      </c>
      <c r="B246" t="str">
        <f t="shared" si="15"/>
        <v>PW2-22376</v>
      </c>
      <c r="C246" t="str">
        <f t="shared" si="16"/>
        <v>0</v>
      </c>
      <c r="D246">
        <f t="shared" si="17"/>
        <v>1</v>
      </c>
      <c r="E246">
        <f t="shared" si="18"/>
        <v>1</v>
      </c>
      <c r="F246" t="str">
        <f>_xlfn.LET(_xlpm.count, _xlfn.XLOOKUP(B246,'CL.SOL5--20251227'!I:I,'CL.SOL5--20251227'!L:L), IF(_xlpm.count=E246,"-", _xlpm.count))</f>
        <v>-</v>
      </c>
      <c r="G246" t="str">
        <f t="shared" si="19"/>
        <v>PW2-22376-S1P4-Rev0-001</v>
      </c>
      <c r="H246" t="str">
        <f>_xlfn.LET(_xlpm.rev, _xlfn.XLOOKUP(B246,'CL.SOL5--20251227'!I:I,'CL.SOL5--20251227'!K:K), IF(_xlpm.rev=C246, "-", _xlpm.rev))</f>
        <v>-</v>
      </c>
      <c r="I246">
        <v>245</v>
      </c>
      <c r="J246" t="str">
        <f>_xlfn.XLOOKUP(B246,'CL.SOL5--20251227'!I:I,'CL.SOL5--20251227'!H:H)</f>
        <v>PW2-22376-1"-S1P4</v>
      </c>
    </row>
    <row r="247" spans="1:10" hidden="1">
      <c r="A247" t="s">
        <v>624</v>
      </c>
      <c r="B247" t="str">
        <f t="shared" si="15"/>
        <v>PW2-22377</v>
      </c>
      <c r="C247" t="str">
        <f t="shared" si="16"/>
        <v>0</v>
      </c>
      <c r="D247">
        <f t="shared" si="17"/>
        <v>1</v>
      </c>
      <c r="E247">
        <f t="shared" si="18"/>
        <v>1</v>
      </c>
      <c r="F247" t="str">
        <f>_xlfn.LET(_xlpm.count, _xlfn.XLOOKUP(B247,'CL.SOL5--20251227'!I:I,'CL.SOL5--20251227'!L:L), IF(_xlpm.count=E247,"-", _xlpm.count))</f>
        <v>-</v>
      </c>
      <c r="G247" t="str">
        <f t="shared" si="19"/>
        <v>PW2-22377-S1P4-Rev0-001</v>
      </c>
      <c r="H247" t="str">
        <f>_xlfn.LET(_xlpm.rev, _xlfn.XLOOKUP(B247,'CL.SOL5--20251227'!I:I,'CL.SOL5--20251227'!K:K), IF(_xlpm.rev=C247, "-", _xlpm.rev))</f>
        <v>-</v>
      </c>
      <c r="I247">
        <v>246</v>
      </c>
      <c r="J247" t="str">
        <f>_xlfn.XLOOKUP(B247,'CL.SOL5--20251227'!I:I,'CL.SOL5--20251227'!H:H)</f>
        <v>PW2-22377-1"-S1P4</v>
      </c>
    </row>
    <row r="248" spans="1:10" hidden="1">
      <c r="A248" t="s">
        <v>625</v>
      </c>
      <c r="B248" t="str">
        <f t="shared" si="15"/>
        <v>PW2-22378</v>
      </c>
      <c r="C248" t="str">
        <f t="shared" si="16"/>
        <v>0</v>
      </c>
      <c r="D248">
        <f t="shared" si="17"/>
        <v>1</v>
      </c>
      <c r="E248">
        <f t="shared" si="18"/>
        <v>1</v>
      </c>
      <c r="F248" t="str">
        <f>_xlfn.LET(_xlpm.count, _xlfn.XLOOKUP(B248,'CL.SOL5--20251227'!I:I,'CL.SOL5--20251227'!L:L), IF(_xlpm.count=E248,"-", _xlpm.count))</f>
        <v>-</v>
      </c>
      <c r="G248" t="str">
        <f t="shared" si="19"/>
        <v>PW2-22378-S1P4-Rev0-001</v>
      </c>
      <c r="H248" t="str">
        <f>_xlfn.LET(_xlpm.rev, _xlfn.XLOOKUP(B248,'CL.SOL5--20251227'!I:I,'CL.SOL5--20251227'!K:K), IF(_xlpm.rev=C248, "-", _xlpm.rev))</f>
        <v>-</v>
      </c>
      <c r="I248">
        <v>247</v>
      </c>
      <c r="J248" t="str">
        <f>_xlfn.XLOOKUP(B248,'CL.SOL5--20251227'!I:I,'CL.SOL5--20251227'!H:H)</f>
        <v>PW2-22378-1"-S1P4</v>
      </c>
    </row>
    <row r="249" spans="1:10" hidden="1">
      <c r="A249" t="s">
        <v>626</v>
      </c>
      <c r="B249" t="str">
        <f t="shared" si="15"/>
        <v>RH-22101</v>
      </c>
      <c r="C249" t="str">
        <f t="shared" si="16"/>
        <v>0</v>
      </c>
      <c r="D249">
        <f t="shared" si="17"/>
        <v>1</v>
      </c>
      <c r="E249">
        <f t="shared" si="18"/>
        <v>2</v>
      </c>
      <c r="F249" t="str">
        <f>_xlfn.LET(_xlpm.count, _xlfn.XLOOKUP(B249,'CL.SOL5--20251227'!I:I,'CL.SOL5--20251227'!L:L), IF(_xlpm.count=E249,"-", _xlpm.count))</f>
        <v>-</v>
      </c>
      <c r="G249" t="str">
        <f t="shared" si="19"/>
        <v>RH-22101-C1P1-Rev0-001</v>
      </c>
      <c r="H249" t="str">
        <f>_xlfn.LET(_xlpm.rev, _xlfn.XLOOKUP(B249,'CL.SOL5--20251227'!I:I,'CL.SOL5--20251227'!K:K), IF(_xlpm.rev=C249, "-", _xlpm.rev))</f>
        <v>-</v>
      </c>
      <c r="I249">
        <v>248</v>
      </c>
      <c r="J249" t="str">
        <f>_xlfn.XLOOKUP(B249,'CL.SOL5--20251227'!I:I,'CL.SOL5--20251227'!H:H)</f>
        <v>RH-22101-4"-C1P1</v>
      </c>
    </row>
    <row r="250" spans="1:10" hidden="1">
      <c r="A250" t="s">
        <v>627</v>
      </c>
      <c r="B250" t="str">
        <f t="shared" si="15"/>
        <v>RH-22101</v>
      </c>
      <c r="C250" t="str">
        <f t="shared" si="16"/>
        <v>0</v>
      </c>
      <c r="D250">
        <f t="shared" si="17"/>
        <v>2</v>
      </c>
      <c r="E250">
        <f t="shared" si="18"/>
        <v>2</v>
      </c>
      <c r="F250" t="str">
        <f>_xlfn.LET(_xlpm.count, _xlfn.XLOOKUP(B250,'CL.SOL5--20251227'!I:I,'CL.SOL5--20251227'!L:L), IF(_xlpm.count=E250,"-", _xlpm.count))</f>
        <v>-</v>
      </c>
      <c r="G250" t="str">
        <f t="shared" si="19"/>
        <v>RH-22101-C1P1-Rev0-002</v>
      </c>
      <c r="H250" t="str">
        <f>_xlfn.LET(_xlpm.rev, _xlfn.XLOOKUP(B250,'CL.SOL5--20251227'!I:I,'CL.SOL5--20251227'!K:K), IF(_xlpm.rev=C250, "-", _xlpm.rev))</f>
        <v>-</v>
      </c>
      <c r="I250">
        <v>249</v>
      </c>
      <c r="J250" t="str">
        <f>_xlfn.XLOOKUP(B250,'CL.SOL5--20251227'!I:I,'CL.SOL5--20251227'!H:H)</f>
        <v>RH-22101-4"-C1P1</v>
      </c>
    </row>
    <row r="251" spans="1:10" hidden="1">
      <c r="A251" t="s">
        <v>628</v>
      </c>
      <c r="B251" t="str">
        <f t="shared" si="15"/>
        <v>RH-22102</v>
      </c>
      <c r="C251" t="str">
        <f t="shared" si="16"/>
        <v>0</v>
      </c>
      <c r="D251">
        <f t="shared" si="17"/>
        <v>1</v>
      </c>
      <c r="E251">
        <f t="shared" si="18"/>
        <v>1</v>
      </c>
      <c r="F251" t="str">
        <f>_xlfn.LET(_xlpm.count, _xlfn.XLOOKUP(B251,'CL.SOL5--20251227'!I:I,'CL.SOL5--20251227'!L:L), IF(_xlpm.count=E251,"-", _xlpm.count))</f>
        <v>-</v>
      </c>
      <c r="G251" t="str">
        <f t="shared" si="19"/>
        <v>RH-22102-C1P1-Rev0-001</v>
      </c>
      <c r="H251" t="str">
        <f>_xlfn.LET(_xlpm.rev, _xlfn.XLOOKUP(B251,'CL.SOL5--20251227'!I:I,'CL.SOL5--20251227'!K:K), IF(_xlpm.rev=C251, "-", _xlpm.rev))</f>
        <v>-</v>
      </c>
      <c r="I251">
        <v>250</v>
      </c>
      <c r="J251" t="str">
        <f>_xlfn.XLOOKUP(B251,'CL.SOL5--20251227'!I:I,'CL.SOL5--20251227'!H:H)</f>
        <v>RH-22102-3"-C1P1</v>
      </c>
    </row>
    <row r="252" spans="1:10" hidden="1">
      <c r="A252" t="s">
        <v>629</v>
      </c>
      <c r="B252" t="str">
        <f t="shared" si="15"/>
        <v>RH-22201</v>
      </c>
      <c r="C252" t="str">
        <f t="shared" si="16"/>
        <v>0</v>
      </c>
      <c r="D252">
        <f t="shared" si="17"/>
        <v>1</v>
      </c>
      <c r="E252">
        <f t="shared" si="18"/>
        <v>2</v>
      </c>
      <c r="F252" t="str">
        <f>_xlfn.LET(_xlpm.count, _xlfn.XLOOKUP(B252,'CL.SOL5--20251227'!I:I,'CL.SOL5--20251227'!L:L), IF(_xlpm.count=E252,"-", _xlpm.count))</f>
        <v>-</v>
      </c>
      <c r="G252" t="str">
        <f t="shared" si="19"/>
        <v>RH-22201-C1P1-Rev0-001</v>
      </c>
      <c r="H252" t="str">
        <f>_xlfn.LET(_xlpm.rev, _xlfn.XLOOKUP(B252,'CL.SOL5--20251227'!I:I,'CL.SOL5--20251227'!K:K), IF(_xlpm.rev=C252, "-", _xlpm.rev))</f>
        <v>-</v>
      </c>
      <c r="I252">
        <v>251</v>
      </c>
      <c r="J252" t="str">
        <f>_xlfn.XLOOKUP(B252,'CL.SOL5--20251227'!I:I,'CL.SOL5--20251227'!H:H)</f>
        <v>RH-22201-6"-C1P1</v>
      </c>
    </row>
    <row r="253" spans="1:10" hidden="1">
      <c r="A253" t="s">
        <v>630</v>
      </c>
      <c r="B253" t="str">
        <f t="shared" si="15"/>
        <v>RH-22201</v>
      </c>
      <c r="C253" t="str">
        <f t="shared" si="16"/>
        <v>0</v>
      </c>
      <c r="D253">
        <f t="shared" si="17"/>
        <v>2</v>
      </c>
      <c r="E253">
        <f t="shared" si="18"/>
        <v>2</v>
      </c>
      <c r="F253" t="str">
        <f>_xlfn.LET(_xlpm.count, _xlfn.XLOOKUP(B253,'CL.SOL5--20251227'!I:I,'CL.SOL5--20251227'!L:L), IF(_xlpm.count=E253,"-", _xlpm.count))</f>
        <v>-</v>
      </c>
      <c r="G253" t="str">
        <f t="shared" si="19"/>
        <v>RH-22201-C1P1-Rev0-002</v>
      </c>
      <c r="H253" t="str">
        <f>_xlfn.LET(_xlpm.rev, _xlfn.XLOOKUP(B253,'CL.SOL5--20251227'!I:I,'CL.SOL5--20251227'!K:K), IF(_xlpm.rev=C253, "-", _xlpm.rev))</f>
        <v>-</v>
      </c>
      <c r="I253">
        <v>252</v>
      </c>
      <c r="J253" t="str">
        <f>_xlfn.XLOOKUP(B253,'CL.SOL5--20251227'!I:I,'CL.SOL5--20251227'!H:H)</f>
        <v>RH-22201-6"-C1P1</v>
      </c>
    </row>
    <row r="254" spans="1:10" hidden="1">
      <c r="A254" t="s">
        <v>631</v>
      </c>
      <c r="B254" t="str">
        <f t="shared" si="15"/>
        <v>RH-22202</v>
      </c>
      <c r="C254" t="str">
        <f t="shared" si="16"/>
        <v>0</v>
      </c>
      <c r="D254">
        <f t="shared" si="17"/>
        <v>1</v>
      </c>
      <c r="E254">
        <f t="shared" si="18"/>
        <v>1</v>
      </c>
      <c r="F254" t="str">
        <f>_xlfn.LET(_xlpm.count, _xlfn.XLOOKUP(B254,'CL.SOL5--20251227'!I:I,'CL.SOL5--20251227'!L:L), IF(_xlpm.count=E254,"-", _xlpm.count))</f>
        <v>-</v>
      </c>
      <c r="G254" t="str">
        <f t="shared" si="19"/>
        <v>RH-22202-C1P1-Rev0-001</v>
      </c>
      <c r="H254" t="str">
        <f>_xlfn.LET(_xlpm.rev, _xlfn.XLOOKUP(B254,'CL.SOL5--20251227'!I:I,'CL.SOL5--20251227'!K:K), IF(_xlpm.rev=C254, "-", _xlpm.rev))</f>
        <v>-</v>
      </c>
      <c r="I254">
        <v>253</v>
      </c>
      <c r="J254" t="str">
        <f>_xlfn.XLOOKUP(B254,'CL.SOL5--20251227'!I:I,'CL.SOL5--20251227'!H:H)</f>
        <v>RH-22202-3"-C1P1</v>
      </c>
    </row>
    <row r="255" spans="1:10" hidden="1">
      <c r="A255" t="s">
        <v>632</v>
      </c>
      <c r="B255" t="str">
        <f t="shared" si="15"/>
        <v>SW-22371</v>
      </c>
      <c r="C255" t="str">
        <f t="shared" si="16"/>
        <v>0</v>
      </c>
      <c r="D255">
        <f t="shared" si="17"/>
        <v>1</v>
      </c>
      <c r="E255">
        <f t="shared" si="18"/>
        <v>2</v>
      </c>
      <c r="F255" t="str">
        <f>_xlfn.LET(_xlpm.count, _xlfn.XLOOKUP(B255,'CL.SOL5--20251227'!I:I,'CL.SOL5--20251227'!L:L), IF(_xlpm.count=E255,"-", _xlpm.count))</f>
        <v>-</v>
      </c>
      <c r="G255" t="str">
        <f t="shared" si="19"/>
        <v>SW-22371-S1P1-Rev0-001</v>
      </c>
      <c r="H255" t="str">
        <f>_xlfn.LET(_xlpm.rev, _xlfn.XLOOKUP(B255,'CL.SOL5--20251227'!I:I,'CL.SOL5--20251227'!K:K), IF(_xlpm.rev=C255, "-", _xlpm.rev))</f>
        <v>-</v>
      </c>
      <c r="I255">
        <v>254</v>
      </c>
      <c r="J255" t="str">
        <f>_xlfn.XLOOKUP(B255,'CL.SOL5--20251227'!I:I,'CL.SOL5--20251227'!H:H)</f>
        <v>SW-22371-2"-S1P1</v>
      </c>
    </row>
    <row r="256" spans="1:10" hidden="1">
      <c r="A256" t="s">
        <v>633</v>
      </c>
      <c r="B256" t="str">
        <f t="shared" si="15"/>
        <v>SW-22371</v>
      </c>
      <c r="C256" t="str">
        <f t="shared" si="16"/>
        <v>0</v>
      </c>
      <c r="D256">
        <f t="shared" si="17"/>
        <v>2</v>
      </c>
      <c r="E256">
        <f t="shared" si="18"/>
        <v>2</v>
      </c>
      <c r="F256" t="str">
        <f>_xlfn.LET(_xlpm.count, _xlfn.XLOOKUP(B256,'CL.SOL5--20251227'!I:I,'CL.SOL5--20251227'!L:L), IF(_xlpm.count=E256,"-", _xlpm.count))</f>
        <v>-</v>
      </c>
      <c r="G256" t="str">
        <f t="shared" si="19"/>
        <v>SW-22371-S1P1-Rev0-002</v>
      </c>
      <c r="H256" t="str">
        <f>_xlfn.LET(_xlpm.rev, _xlfn.XLOOKUP(B256,'CL.SOL5--20251227'!I:I,'CL.SOL5--20251227'!K:K), IF(_xlpm.rev=C256, "-", _xlpm.rev))</f>
        <v>-</v>
      </c>
      <c r="I256">
        <v>255</v>
      </c>
      <c r="J256" t="str">
        <f>_xlfn.XLOOKUP(B256,'CL.SOL5--20251227'!I:I,'CL.SOL5--20251227'!H:H)</f>
        <v>SW-22371-2"-S1P1</v>
      </c>
    </row>
    <row r="257" spans="1:10" hidden="1">
      <c r="A257" t="s">
        <v>634</v>
      </c>
      <c r="B257" t="str">
        <f t="shared" si="15"/>
        <v>SW-22372</v>
      </c>
      <c r="C257" t="str">
        <f t="shared" si="16"/>
        <v>0</v>
      </c>
      <c r="D257">
        <f t="shared" si="17"/>
        <v>1</v>
      </c>
      <c r="E257">
        <f t="shared" si="18"/>
        <v>1</v>
      </c>
      <c r="F257" t="str">
        <f>_xlfn.LET(_xlpm.count, _xlfn.XLOOKUP(B257,'CL.SOL5--20251227'!I:I,'CL.SOL5--20251227'!L:L), IF(_xlpm.count=E257,"-", _xlpm.count))</f>
        <v>-</v>
      </c>
      <c r="G257" t="str">
        <f t="shared" si="19"/>
        <v>SW-22372-S1P1-Rev0-001</v>
      </c>
      <c r="H257" t="str">
        <f>_xlfn.LET(_xlpm.rev, _xlfn.XLOOKUP(B257,'CL.SOL5--20251227'!I:I,'CL.SOL5--20251227'!K:K), IF(_xlpm.rev=C257, "-", _xlpm.rev))</f>
        <v>-</v>
      </c>
      <c r="I257">
        <v>256</v>
      </c>
      <c r="J257" t="str">
        <f>_xlfn.XLOOKUP(B257,'CL.SOL5--20251227'!I:I,'CL.SOL5--20251227'!H:H)</f>
        <v>SW-22372-1.1/2"-S1P1</v>
      </c>
    </row>
    <row r="258" spans="1:10" hidden="1">
      <c r="A258" t="s">
        <v>635</v>
      </c>
      <c r="B258" t="str">
        <f t="shared" si="15"/>
        <v>SW-22373</v>
      </c>
      <c r="C258" t="str">
        <f t="shared" si="16"/>
        <v>0</v>
      </c>
      <c r="D258">
        <f t="shared" si="17"/>
        <v>1</v>
      </c>
      <c r="E258">
        <f t="shared" si="18"/>
        <v>1</v>
      </c>
      <c r="F258" t="str">
        <f>_xlfn.LET(_xlpm.count, _xlfn.XLOOKUP(B258,'CL.SOL5--20251227'!I:I,'CL.SOL5--20251227'!L:L), IF(_xlpm.count=E258,"-", _xlpm.count))</f>
        <v>-</v>
      </c>
      <c r="G258" t="str">
        <f t="shared" si="19"/>
        <v>SW-22373-S1P1-Rev0-001</v>
      </c>
      <c r="H258" t="str">
        <f>_xlfn.LET(_xlpm.rev, _xlfn.XLOOKUP(B258,'CL.SOL5--20251227'!I:I,'CL.SOL5--20251227'!K:K), IF(_xlpm.rev=C258, "-", _xlpm.rev))</f>
        <v>-</v>
      </c>
      <c r="I258">
        <v>257</v>
      </c>
      <c r="J258" t="str">
        <f>_xlfn.XLOOKUP(B258,'CL.SOL5--20251227'!I:I,'CL.SOL5--20251227'!H:H)</f>
        <v>SW-22373-1.1/2"-S1P1</v>
      </c>
    </row>
    <row r="259" spans="1:10" hidden="1">
      <c r="A259" t="s">
        <v>636</v>
      </c>
      <c r="B259" t="str">
        <f t="shared" ref="B259:B313" si="20">_xlfn.LET(_xlpm.pos,IF(ISNUMBER(FIND("TRIM",A259)), 3, 2), _xlfn.TEXTBEFORE(A259, "-", _xlpm.pos))</f>
        <v>SW-22374</v>
      </c>
      <c r="C259" t="str">
        <f t="shared" ref="C259:C313" si="21">_xlfn.TEXTBEFORE(_xlfn.TEXTAFTER(A259,"-Rev"), "-")</f>
        <v>0</v>
      </c>
      <c r="D259">
        <f t="shared" ref="D259:D313" si="22">VALUE(_xlfn.TEXTBEFORE(_xlfn.TEXTAFTER(A259, "-", -1), "."))</f>
        <v>1</v>
      </c>
      <c r="E259">
        <f t="shared" ref="E259:E313" si="23">_xlfn.MAXIFS(D:D,B:B,B259)</f>
        <v>1</v>
      </c>
      <c r="F259" t="str">
        <f>_xlfn.LET(_xlpm.count, _xlfn.XLOOKUP(B259,'CL.SOL5--20251227'!I:I,'CL.SOL5--20251227'!L:L), IF(_xlpm.count=E259,"-", _xlpm.count))</f>
        <v>-</v>
      </c>
      <c r="G259" t="str">
        <f t="shared" ref="G259:G313" si="24">_xlfn.TEXTBEFORE(A259,".")</f>
        <v>SW-22374-S1P1-Rev0-001</v>
      </c>
      <c r="H259" t="str">
        <f>_xlfn.LET(_xlpm.rev, _xlfn.XLOOKUP(B259,'CL.SOL5--20251227'!I:I,'CL.SOL5--20251227'!K:K), IF(_xlpm.rev=C259, "-", _xlpm.rev))</f>
        <v>-</v>
      </c>
      <c r="I259">
        <v>258</v>
      </c>
      <c r="J259" t="str">
        <f>_xlfn.XLOOKUP(B259,'CL.SOL5--20251227'!I:I,'CL.SOL5--20251227'!H:H)</f>
        <v>SW-22374-1.1/2"-S1P1</v>
      </c>
    </row>
    <row r="260" spans="1:10" hidden="1">
      <c r="A260" t="s">
        <v>637</v>
      </c>
      <c r="B260" t="str">
        <f t="shared" si="20"/>
        <v>SW-22375</v>
      </c>
      <c r="C260" t="str">
        <f t="shared" si="21"/>
        <v>0</v>
      </c>
      <c r="D260">
        <f t="shared" si="22"/>
        <v>1</v>
      </c>
      <c r="E260">
        <f t="shared" si="23"/>
        <v>1</v>
      </c>
      <c r="F260" t="str">
        <f>_xlfn.LET(_xlpm.count, _xlfn.XLOOKUP(B260,'CL.SOL5--20251227'!I:I,'CL.SOL5--20251227'!L:L), IF(_xlpm.count=E260,"-", _xlpm.count))</f>
        <v>-</v>
      </c>
      <c r="G260" t="str">
        <f t="shared" si="24"/>
        <v>SW-22375-S1P1-Rev0-001</v>
      </c>
      <c r="H260" t="str">
        <f>_xlfn.LET(_xlpm.rev, _xlfn.XLOOKUP(B260,'CL.SOL5--20251227'!I:I,'CL.SOL5--20251227'!K:K), IF(_xlpm.rev=C260, "-", _xlpm.rev))</f>
        <v>-</v>
      </c>
      <c r="I260">
        <v>259</v>
      </c>
      <c r="J260" t="str">
        <f>_xlfn.XLOOKUP(B260,'CL.SOL5--20251227'!I:I,'CL.SOL5--20251227'!H:H)</f>
        <v>SW-22375-1.1/2"-S1P1</v>
      </c>
    </row>
    <row r="261" spans="1:10" hidden="1">
      <c r="A261" t="s">
        <v>638</v>
      </c>
      <c r="B261" t="str">
        <f t="shared" si="20"/>
        <v>SW-22376</v>
      </c>
      <c r="C261" t="str">
        <f t="shared" si="21"/>
        <v>0</v>
      </c>
      <c r="D261">
        <f t="shared" si="22"/>
        <v>1</v>
      </c>
      <c r="E261">
        <f t="shared" si="23"/>
        <v>1</v>
      </c>
      <c r="F261" t="str">
        <f>_xlfn.LET(_xlpm.count, _xlfn.XLOOKUP(B261,'CL.SOL5--20251227'!I:I,'CL.SOL5--20251227'!L:L), IF(_xlpm.count=E261,"-", _xlpm.count))</f>
        <v>-</v>
      </c>
      <c r="G261" t="str">
        <f t="shared" si="24"/>
        <v>SW-22376-S1P1-Rev0-001</v>
      </c>
      <c r="H261" t="str">
        <f>_xlfn.LET(_xlpm.rev, _xlfn.XLOOKUP(B261,'CL.SOL5--20251227'!I:I,'CL.SOL5--20251227'!K:K), IF(_xlpm.rev=C261, "-", _xlpm.rev))</f>
        <v>-</v>
      </c>
      <c r="I261">
        <v>260</v>
      </c>
      <c r="J261" t="str">
        <f>_xlfn.XLOOKUP(B261,'CL.SOL5--20251227'!I:I,'CL.SOL5--20251227'!H:H)</f>
        <v>SW-22376-1.1/2"-S1P1</v>
      </c>
    </row>
    <row r="262" spans="1:10" hidden="1">
      <c r="A262" t="s">
        <v>639</v>
      </c>
      <c r="B262" t="str">
        <f t="shared" si="20"/>
        <v>SW-22377</v>
      </c>
      <c r="C262" t="str">
        <f t="shared" si="21"/>
        <v>0</v>
      </c>
      <c r="D262">
        <f t="shared" si="22"/>
        <v>1</v>
      </c>
      <c r="E262">
        <f t="shared" si="23"/>
        <v>1</v>
      </c>
      <c r="F262" t="str">
        <f>_xlfn.LET(_xlpm.count, _xlfn.XLOOKUP(B262,'CL.SOL5--20251227'!I:I,'CL.SOL5--20251227'!L:L), IF(_xlpm.count=E262,"-", _xlpm.count))</f>
        <v>-</v>
      </c>
      <c r="G262" t="str">
        <f t="shared" si="24"/>
        <v>SW-22377-S1P1-Rev0-001</v>
      </c>
      <c r="H262" t="str">
        <f>_xlfn.LET(_xlpm.rev, _xlfn.XLOOKUP(B262,'CL.SOL5--20251227'!I:I,'CL.SOL5--20251227'!K:K), IF(_xlpm.rev=C262, "-", _xlpm.rev))</f>
        <v>-</v>
      </c>
      <c r="I262">
        <v>261</v>
      </c>
      <c r="J262" t="str">
        <f>_xlfn.XLOOKUP(B262,'CL.SOL5--20251227'!I:I,'CL.SOL5--20251227'!H:H)</f>
        <v>SW-22377-1.1/2"-S1P1</v>
      </c>
    </row>
    <row r="263" spans="1:10" hidden="1">
      <c r="A263" t="s">
        <v>640</v>
      </c>
      <c r="B263" t="str">
        <f t="shared" si="20"/>
        <v>TRIM-D2210-N8</v>
      </c>
      <c r="C263" t="str">
        <f t="shared" si="21"/>
        <v>0</v>
      </c>
      <c r="D263">
        <f t="shared" si="22"/>
        <v>1</v>
      </c>
      <c r="E263">
        <f t="shared" si="23"/>
        <v>1</v>
      </c>
      <c r="F263" t="str">
        <f>_xlfn.LET(_xlpm.count, _xlfn.XLOOKUP(B263,'CL.SOL5--20251227'!I:I,'CL.SOL5--20251227'!L:L), IF(_xlpm.count=E263,"-", _xlpm.count))</f>
        <v>-</v>
      </c>
      <c r="G263" t="str">
        <f t="shared" si="24"/>
        <v>TRIM-D2210-N8-S1PL-Rev0-001</v>
      </c>
      <c r="H263" t="str">
        <f>_xlfn.LET(_xlpm.rev, _xlfn.XLOOKUP(B263,'CL.SOL5--20251227'!I:I,'CL.SOL5--20251227'!K:K), IF(_xlpm.rev=C263, "-", _xlpm.rev))</f>
        <v>-</v>
      </c>
      <c r="I263">
        <v>262</v>
      </c>
      <c r="J263" t="str">
        <f>_xlfn.XLOOKUP(B263,'CL.SOL5--20251227'!I:I,'CL.SOL5--20251227'!H:H)</f>
        <v>TRIM-D2210-N8-1"-S1PL</v>
      </c>
    </row>
    <row r="264" spans="1:10" hidden="1">
      <c r="A264" t="s">
        <v>641</v>
      </c>
      <c r="B264" t="str">
        <f t="shared" si="20"/>
        <v>TRIM-D2210-N35</v>
      </c>
      <c r="C264" t="str">
        <f t="shared" si="21"/>
        <v>0</v>
      </c>
      <c r="D264">
        <f t="shared" si="22"/>
        <v>1</v>
      </c>
      <c r="E264">
        <f t="shared" si="23"/>
        <v>1</v>
      </c>
      <c r="F264" t="str">
        <f>_xlfn.LET(_xlpm.count, _xlfn.XLOOKUP(B264,'CL.SOL5--20251227'!I:I,'CL.SOL5--20251227'!L:L), IF(_xlpm.count=E264,"-", _xlpm.count))</f>
        <v>-</v>
      </c>
      <c r="G264" t="str">
        <f t="shared" si="24"/>
        <v>TRIM-D2210-N35-S1PL-Rev0-001</v>
      </c>
      <c r="H264" t="str">
        <f>_xlfn.LET(_xlpm.rev, _xlfn.XLOOKUP(B264,'CL.SOL5--20251227'!I:I,'CL.SOL5--20251227'!K:K), IF(_xlpm.rev=C264, "-", _xlpm.rev))</f>
        <v>-</v>
      </c>
      <c r="I264">
        <v>263</v>
      </c>
      <c r="J264" t="str">
        <f>_xlfn.XLOOKUP(B264,'CL.SOL5--20251227'!I:I,'CL.SOL5--20251227'!H:H)</f>
        <v>TRIM-D2210-N35-1.1/2"-S1PL</v>
      </c>
    </row>
    <row r="265" spans="1:10" hidden="1">
      <c r="A265" t="s">
        <v>642</v>
      </c>
      <c r="B265" t="str">
        <f t="shared" si="20"/>
        <v>TRIM-D2210-N45AB</v>
      </c>
      <c r="C265" t="str">
        <f t="shared" si="21"/>
        <v>0</v>
      </c>
      <c r="D265">
        <f t="shared" si="22"/>
        <v>1</v>
      </c>
      <c r="E265">
        <f t="shared" si="23"/>
        <v>1</v>
      </c>
      <c r="F265" t="str">
        <f>_xlfn.LET(_xlpm.count, _xlfn.XLOOKUP(B265,'CL.SOL5--20251227'!I:I,'CL.SOL5--20251227'!L:L), IF(_xlpm.count=E265,"-", _xlpm.count))</f>
        <v>-</v>
      </c>
      <c r="G265" t="str">
        <f t="shared" si="24"/>
        <v>TRIM-D2210-N45AB-S1PL-Rev0-001</v>
      </c>
      <c r="H265" t="str">
        <f>_xlfn.LET(_xlpm.rev, _xlfn.XLOOKUP(B265,'CL.SOL5--20251227'!I:I,'CL.SOL5--20251227'!K:K), IF(_xlpm.rev=C265, "-", _xlpm.rev))</f>
        <v>-</v>
      </c>
      <c r="I265">
        <v>264</v>
      </c>
      <c r="J265" t="str">
        <f>_xlfn.XLOOKUP(B265,'CL.SOL5--20251227'!I:I,'CL.SOL5--20251227'!H:H)</f>
        <v>TRIM-D2210-N45AB-2"-S1PL</v>
      </c>
    </row>
    <row r="266" spans="1:10" hidden="1">
      <c r="A266" t="s">
        <v>643</v>
      </c>
      <c r="B266" t="str">
        <f t="shared" si="20"/>
        <v>TRIM-D2210-N47AB</v>
      </c>
      <c r="C266" t="str">
        <f t="shared" si="21"/>
        <v>0</v>
      </c>
      <c r="D266">
        <f t="shared" si="22"/>
        <v>1</v>
      </c>
      <c r="E266">
        <f t="shared" si="23"/>
        <v>2</v>
      </c>
      <c r="F266" t="str">
        <f>_xlfn.LET(_xlpm.count, _xlfn.XLOOKUP(B266,'CL.SOL5--20251227'!I:I,'CL.SOL5--20251227'!L:L), IF(_xlpm.count=E266,"-", _xlpm.count))</f>
        <v>-</v>
      </c>
      <c r="G266" t="str">
        <f t="shared" si="24"/>
        <v>TRIM-D2210-N47AB-S1PL-Rev0-001</v>
      </c>
      <c r="H266" t="str">
        <f>_xlfn.LET(_xlpm.rev, _xlfn.XLOOKUP(B266,'CL.SOL5--20251227'!I:I,'CL.SOL5--20251227'!K:K), IF(_xlpm.rev=C266, "-", _xlpm.rev))</f>
        <v>-</v>
      </c>
      <c r="I266">
        <v>265</v>
      </c>
      <c r="J266" t="str">
        <f>_xlfn.XLOOKUP(B266,'CL.SOL5--20251227'!I:I,'CL.SOL5--20251227'!H:H)</f>
        <v>TRIM-D2210-N47AB-2"-S1PL</v>
      </c>
    </row>
    <row r="267" spans="1:10" hidden="1">
      <c r="A267" t="s">
        <v>644</v>
      </c>
      <c r="B267" t="str">
        <f t="shared" si="20"/>
        <v>TRIM-D2210-N47AB</v>
      </c>
      <c r="C267" t="str">
        <f t="shared" si="21"/>
        <v>0</v>
      </c>
      <c r="D267">
        <f t="shared" si="22"/>
        <v>2</v>
      </c>
      <c r="E267">
        <f t="shared" si="23"/>
        <v>2</v>
      </c>
      <c r="F267" t="str">
        <f>_xlfn.LET(_xlpm.count, _xlfn.XLOOKUP(B267,'CL.SOL5--20251227'!I:I,'CL.SOL5--20251227'!L:L), IF(_xlpm.count=E267,"-", _xlpm.count))</f>
        <v>-</v>
      </c>
      <c r="G267" t="str">
        <f t="shared" si="24"/>
        <v>TRIM-D2210-N47AB-S1PL-Rev0-002</v>
      </c>
      <c r="H267" t="str">
        <f>_xlfn.LET(_xlpm.rev, _xlfn.XLOOKUP(B267,'CL.SOL5--20251227'!I:I,'CL.SOL5--20251227'!K:K), IF(_xlpm.rev=C267, "-", _xlpm.rev))</f>
        <v>-</v>
      </c>
      <c r="I267">
        <v>266</v>
      </c>
      <c r="J267" t="str">
        <f>_xlfn.XLOOKUP(B267,'CL.SOL5--20251227'!I:I,'CL.SOL5--20251227'!H:H)</f>
        <v>TRIM-D2210-N47AB-2"-S1PL</v>
      </c>
    </row>
    <row r="268" spans="1:10" hidden="1">
      <c r="A268" t="s">
        <v>645</v>
      </c>
      <c r="B268" t="str">
        <f t="shared" si="20"/>
        <v>TRIM-E2210-S3</v>
      </c>
      <c r="C268" t="str">
        <f t="shared" si="21"/>
        <v>0</v>
      </c>
      <c r="D268">
        <f t="shared" si="22"/>
        <v>1</v>
      </c>
      <c r="E268">
        <f t="shared" si="23"/>
        <v>1</v>
      </c>
      <c r="F268" t="str">
        <f>_xlfn.LET(_xlpm.count, _xlfn.XLOOKUP(B268,'CL.SOL5--20251227'!I:I,'CL.SOL5--20251227'!L:L), IF(_xlpm.count=E268,"-", _xlpm.count))</f>
        <v>-</v>
      </c>
      <c r="G268" t="str">
        <f t="shared" si="24"/>
        <v>TRIM-E2210-S3-C3S1-Rev0-001</v>
      </c>
      <c r="H268" t="str">
        <f>_xlfn.LET(_xlpm.rev, _xlfn.XLOOKUP(B268,'CL.SOL5--20251227'!I:I,'CL.SOL5--20251227'!K:K), IF(_xlpm.rev=C268, "-", _xlpm.rev))</f>
        <v>-</v>
      </c>
      <c r="I268">
        <v>267</v>
      </c>
      <c r="J268" t="str">
        <f>_xlfn.XLOOKUP(B268,'CL.SOL5--20251227'!I:I,'CL.SOL5--20251227'!H:H)</f>
        <v>TRIM-E2210-S3-1"-C3S1-HC1</v>
      </c>
    </row>
    <row r="269" spans="1:10" hidden="1">
      <c r="A269" t="s">
        <v>646</v>
      </c>
      <c r="B269" t="str">
        <f t="shared" si="20"/>
        <v>TRIM-E2210-S4</v>
      </c>
      <c r="C269" t="str">
        <f t="shared" si="21"/>
        <v>0</v>
      </c>
      <c r="D269">
        <f t="shared" si="22"/>
        <v>1</v>
      </c>
      <c r="E269">
        <f t="shared" si="23"/>
        <v>1</v>
      </c>
      <c r="F269" t="str">
        <f>_xlfn.LET(_xlpm.count, _xlfn.XLOOKUP(B269,'CL.SOL5--20251227'!I:I,'CL.SOL5--20251227'!L:L), IF(_xlpm.count=E269,"-", _xlpm.count))</f>
        <v>-</v>
      </c>
      <c r="G269" t="str">
        <f t="shared" si="24"/>
        <v>TRIM-E2210-S4-C3S1-Rev0-001</v>
      </c>
      <c r="H269" t="str">
        <f>_xlfn.LET(_xlpm.rev, _xlfn.XLOOKUP(B269,'CL.SOL5--20251227'!I:I,'CL.SOL5--20251227'!K:K), IF(_xlpm.rev=C269, "-", _xlpm.rev))</f>
        <v>-</v>
      </c>
      <c r="I269">
        <v>268</v>
      </c>
      <c r="J269" t="str">
        <f>_xlfn.XLOOKUP(B269,'CL.SOL5--20251227'!I:I,'CL.SOL5--20251227'!H:H)</f>
        <v>TRIM-E2210-S4-1"-C3S1-HC1</v>
      </c>
    </row>
    <row r="270" spans="1:10" hidden="1">
      <c r="A270" t="s">
        <v>647</v>
      </c>
      <c r="B270" t="str">
        <f t="shared" si="20"/>
        <v>TRIM-E2211-T3</v>
      </c>
      <c r="C270" t="str">
        <f t="shared" si="21"/>
        <v>0</v>
      </c>
      <c r="D270">
        <f t="shared" si="22"/>
        <v>1</v>
      </c>
      <c r="E270">
        <f t="shared" si="23"/>
        <v>1</v>
      </c>
      <c r="F270" t="str">
        <f>_xlfn.LET(_xlpm.count, _xlfn.XLOOKUP(B270,'CL.SOL5--20251227'!I:I,'CL.SOL5--20251227'!L:L), IF(_xlpm.count=E270,"-", _xlpm.count))</f>
        <v>-</v>
      </c>
      <c r="G270" t="str">
        <f t="shared" si="24"/>
        <v>TRIM-E2211-T3-C1P1-Rev0-001</v>
      </c>
      <c r="H270" t="str">
        <f>_xlfn.LET(_xlpm.rev, _xlfn.XLOOKUP(B270,'CL.SOL5--20251227'!I:I,'CL.SOL5--20251227'!K:K), IF(_xlpm.rev=C270, "-", _xlpm.rev))</f>
        <v>-</v>
      </c>
      <c r="I270">
        <v>269</v>
      </c>
      <c r="J270" t="str">
        <f>_xlfn.XLOOKUP(B270,'CL.SOL5--20251227'!I:I,'CL.SOL5--20251227'!H:H)</f>
        <v>TRIM-E2211-T3-1"-S1P1</v>
      </c>
    </row>
    <row r="271" spans="1:10" hidden="1">
      <c r="A271" t="s">
        <v>648</v>
      </c>
      <c r="B271" t="str">
        <f t="shared" si="20"/>
        <v>TRIM-E2211-T4</v>
      </c>
      <c r="C271" t="str">
        <f t="shared" si="21"/>
        <v>0</v>
      </c>
      <c r="D271">
        <f t="shared" si="22"/>
        <v>1</v>
      </c>
      <c r="E271">
        <f t="shared" si="23"/>
        <v>1</v>
      </c>
      <c r="F271" t="str">
        <f>_xlfn.LET(_xlpm.count, _xlfn.XLOOKUP(B271,'CL.SOL5--20251227'!I:I,'CL.SOL5--20251227'!L:L), IF(_xlpm.count=E271,"-", _xlpm.count))</f>
        <v>-</v>
      </c>
      <c r="G271" t="str">
        <f t="shared" si="24"/>
        <v>TRIM-E2211-T4-S1P1-Rev0-001</v>
      </c>
      <c r="H271" t="str">
        <f>_xlfn.LET(_xlpm.rev, _xlfn.XLOOKUP(B271,'CL.SOL5--20251227'!I:I,'CL.SOL5--20251227'!K:K), IF(_xlpm.rev=C271, "-", _xlpm.rev))</f>
        <v>-</v>
      </c>
      <c r="I271">
        <v>270</v>
      </c>
      <c r="J271" t="str">
        <f>_xlfn.XLOOKUP(B271,'CL.SOL5--20251227'!I:I,'CL.SOL5--20251227'!H:H)</f>
        <v>TRIM-E2211-T4-1"-S1P1</v>
      </c>
    </row>
    <row r="272" spans="1:10" hidden="1">
      <c r="A272" t="s">
        <v>649</v>
      </c>
      <c r="B272" t="str">
        <f t="shared" si="20"/>
        <v>TRIM-E2212-S3</v>
      </c>
      <c r="C272" t="str">
        <f t="shared" si="21"/>
        <v>0</v>
      </c>
      <c r="D272">
        <f t="shared" si="22"/>
        <v>1</v>
      </c>
      <c r="E272">
        <f t="shared" si="23"/>
        <v>1</v>
      </c>
      <c r="F272" t="str">
        <f>_xlfn.LET(_xlpm.count, _xlfn.XLOOKUP(B272,'CL.SOL5--20251227'!I:I,'CL.SOL5--20251227'!L:L), IF(_xlpm.count=E272,"-", _xlpm.count))</f>
        <v>-</v>
      </c>
      <c r="G272" t="str">
        <f t="shared" si="24"/>
        <v>TRIM-E2212-S3-S1P1-Rev0-001</v>
      </c>
      <c r="H272" t="str">
        <f>_xlfn.LET(_xlpm.rev, _xlfn.XLOOKUP(B272,'CL.SOL5--20251227'!I:I,'CL.SOL5--20251227'!K:K), IF(_xlpm.rev=C272, "-", _xlpm.rev))</f>
        <v>-</v>
      </c>
      <c r="I272">
        <v>271</v>
      </c>
      <c r="J272" t="str">
        <f>_xlfn.XLOOKUP(B272,'CL.SOL5--20251227'!I:I,'CL.SOL5--20251227'!H:H)</f>
        <v>TRIM-E2212-S3-1/2"-S1P1-C50</v>
      </c>
    </row>
    <row r="273" spans="1:10" hidden="1">
      <c r="A273" t="s">
        <v>650</v>
      </c>
      <c r="B273" t="str">
        <f t="shared" si="20"/>
        <v>TRIM-E2212-S4</v>
      </c>
      <c r="C273" t="str">
        <f t="shared" si="21"/>
        <v>0</v>
      </c>
      <c r="D273">
        <f t="shared" si="22"/>
        <v>1</v>
      </c>
      <c r="E273">
        <f t="shared" si="23"/>
        <v>1</v>
      </c>
      <c r="F273" t="str">
        <f>_xlfn.LET(_xlpm.count, _xlfn.XLOOKUP(B273,'CL.SOL5--20251227'!I:I,'CL.SOL5--20251227'!L:L), IF(_xlpm.count=E273,"-", _xlpm.count))</f>
        <v>-</v>
      </c>
      <c r="G273" t="str">
        <f t="shared" si="24"/>
        <v>TRIM-E2212-S4-S1P1-Rev0-001</v>
      </c>
      <c r="H273" t="str">
        <f>_xlfn.LET(_xlpm.rev, _xlfn.XLOOKUP(B273,'CL.SOL5--20251227'!I:I,'CL.SOL5--20251227'!K:K), IF(_xlpm.rev=C273, "-", _xlpm.rev))</f>
        <v>-</v>
      </c>
      <c r="I273">
        <v>272</v>
      </c>
      <c r="J273" t="str">
        <f>_xlfn.XLOOKUP(B273,'CL.SOL5--20251227'!I:I,'CL.SOL5--20251227'!H:H)</f>
        <v>TRIM-E2212-S4-1/2"-S1P1-C50</v>
      </c>
    </row>
    <row r="274" spans="1:10" hidden="1">
      <c r="A274" t="s">
        <v>651</v>
      </c>
      <c r="B274" t="str">
        <f t="shared" si="20"/>
        <v>TRIM-E2212-T4</v>
      </c>
      <c r="C274" t="str">
        <f t="shared" si="21"/>
        <v>0</v>
      </c>
      <c r="D274">
        <f t="shared" si="22"/>
        <v>1</v>
      </c>
      <c r="E274">
        <f t="shared" si="23"/>
        <v>1</v>
      </c>
      <c r="F274" t="str">
        <f>_xlfn.LET(_xlpm.count, _xlfn.XLOOKUP(B274,'CL.SOL5--20251227'!I:I,'CL.SOL5--20251227'!L:L), IF(_xlpm.count=E274,"-", _xlpm.count))</f>
        <v>-</v>
      </c>
      <c r="G274" t="str">
        <f t="shared" si="24"/>
        <v>TRIM-E2212-T4-S1PL-Rev0-001</v>
      </c>
      <c r="H274" t="str">
        <f>_xlfn.LET(_xlpm.rev, _xlfn.XLOOKUP(B274,'CL.SOL5--20251227'!I:I,'CL.SOL5--20251227'!K:K), IF(_xlpm.rev=C274, "-", _xlpm.rev))</f>
        <v>-</v>
      </c>
      <c r="I274">
        <v>273</v>
      </c>
      <c r="J274" t="str">
        <f>_xlfn.XLOOKUP(B274,'CL.SOL5--20251227'!I:I,'CL.SOL5--20251227'!H:H)</f>
        <v>TRIM-E2212-T4-1/2"-S1PL</v>
      </c>
    </row>
    <row r="275" spans="1:10" hidden="1">
      <c r="A275" t="s">
        <v>652</v>
      </c>
      <c r="B275" t="str">
        <f t="shared" si="20"/>
        <v>TRIM-E2213-T3</v>
      </c>
      <c r="C275" t="str">
        <f t="shared" si="21"/>
        <v>0</v>
      </c>
      <c r="D275">
        <f t="shared" si="22"/>
        <v>1</v>
      </c>
      <c r="E275">
        <f t="shared" si="23"/>
        <v>1</v>
      </c>
      <c r="F275" t="str">
        <f>_xlfn.LET(_xlpm.count, _xlfn.XLOOKUP(B275,'CL.SOL5--20251227'!I:I,'CL.SOL5--20251227'!L:L), IF(_xlpm.count=E275,"-", _xlpm.count))</f>
        <v>-</v>
      </c>
      <c r="G275" t="str">
        <f t="shared" si="24"/>
        <v>TRIM-E2213-T3-S1P1-Rev0-001</v>
      </c>
      <c r="H275" t="str">
        <f>_xlfn.LET(_xlpm.rev, _xlfn.XLOOKUP(B275,'CL.SOL5--20251227'!I:I,'CL.SOL5--20251227'!K:K), IF(_xlpm.rev=C275, "-", _xlpm.rev))</f>
        <v>-</v>
      </c>
      <c r="I275">
        <v>274</v>
      </c>
      <c r="J275" t="str">
        <f>_xlfn.XLOOKUP(B275,'CL.SOL5--20251227'!I:I,'CL.SOL5--20251227'!H:H)</f>
        <v>TRIM-E2213-T3-1/2"-S1P1</v>
      </c>
    </row>
    <row r="276" spans="1:10" hidden="1">
      <c r="A276" t="s">
        <v>653</v>
      </c>
      <c r="B276" t="str">
        <f t="shared" si="20"/>
        <v>TRIM-E2213-T4</v>
      </c>
      <c r="C276" t="str">
        <f t="shared" si="21"/>
        <v>0</v>
      </c>
      <c r="D276">
        <f t="shared" si="22"/>
        <v>1</v>
      </c>
      <c r="E276">
        <f t="shared" si="23"/>
        <v>1</v>
      </c>
      <c r="F276" t="str">
        <f>_xlfn.LET(_xlpm.count, _xlfn.XLOOKUP(B276,'CL.SOL5--20251227'!I:I,'CL.SOL5--20251227'!L:L), IF(_xlpm.count=E276,"-", _xlpm.count))</f>
        <v>-</v>
      </c>
      <c r="G276" t="str">
        <f t="shared" si="24"/>
        <v>TRIM-E2213-T4-S1P1-Rev0-001</v>
      </c>
      <c r="H276" t="str">
        <f>_xlfn.LET(_xlpm.rev, _xlfn.XLOOKUP(B276,'CL.SOL5--20251227'!I:I,'CL.SOL5--20251227'!K:K), IF(_xlpm.rev=C276, "-", _xlpm.rev))</f>
        <v>-</v>
      </c>
      <c r="I276">
        <v>275</v>
      </c>
      <c r="J276" t="str">
        <f>_xlfn.XLOOKUP(B276,'CL.SOL5--20251227'!I:I,'CL.SOL5--20251227'!H:H)</f>
        <v>TRIM-E2213-T4-1/2"-S1P1</v>
      </c>
    </row>
    <row r="277" spans="1:10" hidden="1">
      <c r="A277" t="s">
        <v>654</v>
      </c>
      <c r="B277" t="str">
        <f t="shared" si="20"/>
        <v>TRIM-E2214-T3</v>
      </c>
      <c r="C277" t="str">
        <f t="shared" si="21"/>
        <v>0</v>
      </c>
      <c r="D277">
        <f t="shared" si="22"/>
        <v>1</v>
      </c>
      <c r="E277">
        <f t="shared" si="23"/>
        <v>1</v>
      </c>
      <c r="F277" t="str">
        <f>_xlfn.LET(_xlpm.count, _xlfn.XLOOKUP(B277,'CL.SOL5--20251227'!I:I,'CL.SOL5--20251227'!L:L), IF(_xlpm.count=E277,"-", _xlpm.count))</f>
        <v>-</v>
      </c>
      <c r="G277" t="str">
        <f t="shared" si="24"/>
        <v>TRIM-E2214-T3-S1P1-Rev0-001</v>
      </c>
      <c r="H277" t="str">
        <f>_xlfn.LET(_xlpm.rev, _xlfn.XLOOKUP(B277,'CL.SOL5--20251227'!I:I,'CL.SOL5--20251227'!K:K), IF(_xlpm.rev=C277, "-", _xlpm.rev))</f>
        <v>-</v>
      </c>
      <c r="I277">
        <v>276</v>
      </c>
      <c r="J277" t="str">
        <f>_xlfn.XLOOKUP(B277,'CL.SOL5--20251227'!I:I,'CL.SOL5--20251227'!H:H)</f>
        <v>TRIM-E2214-T3-1/2"-S1P1</v>
      </c>
    </row>
    <row r="278" spans="1:10" hidden="1">
      <c r="A278" t="s">
        <v>655</v>
      </c>
      <c r="B278" t="str">
        <f t="shared" si="20"/>
        <v>TRIM-E2214-T4</v>
      </c>
      <c r="C278" t="str">
        <f t="shared" si="21"/>
        <v>0</v>
      </c>
      <c r="D278">
        <f t="shared" si="22"/>
        <v>1</v>
      </c>
      <c r="E278">
        <f t="shared" si="23"/>
        <v>1</v>
      </c>
      <c r="F278" t="str">
        <f>_xlfn.LET(_xlpm.count, _xlfn.XLOOKUP(B278,'CL.SOL5--20251227'!I:I,'CL.SOL5--20251227'!L:L), IF(_xlpm.count=E278,"-", _xlpm.count))</f>
        <v>-</v>
      </c>
      <c r="G278" t="str">
        <f t="shared" si="24"/>
        <v>TRIM-E2214-T4-S1P1-Rev0-001</v>
      </c>
      <c r="H278" t="str">
        <f>_xlfn.LET(_xlpm.rev, _xlfn.XLOOKUP(B278,'CL.SOL5--20251227'!I:I,'CL.SOL5--20251227'!K:K), IF(_xlpm.rev=C278, "-", _xlpm.rev))</f>
        <v>-</v>
      </c>
      <c r="I278">
        <v>277</v>
      </c>
      <c r="J278" t="str">
        <f>_xlfn.XLOOKUP(B278,'CL.SOL5--20251227'!I:I,'CL.SOL5--20251227'!H:H)</f>
        <v>TRIM-E2214-T4-1/2"-S1P1</v>
      </c>
    </row>
    <row r="279" spans="1:10" hidden="1">
      <c r="A279" t="s">
        <v>656</v>
      </c>
      <c r="B279" t="str">
        <f t="shared" si="20"/>
        <v>TRIM-E2220-S3</v>
      </c>
      <c r="C279" t="str">
        <f t="shared" si="21"/>
        <v>0</v>
      </c>
      <c r="D279">
        <f t="shared" si="22"/>
        <v>1</v>
      </c>
      <c r="E279">
        <f t="shared" si="23"/>
        <v>1</v>
      </c>
      <c r="F279" t="str">
        <f>_xlfn.LET(_xlpm.count, _xlfn.XLOOKUP(B279,'CL.SOL5--20251227'!I:I,'CL.SOL5--20251227'!L:L), IF(_xlpm.count=E279,"-", _xlpm.count))</f>
        <v>-</v>
      </c>
      <c r="G279" t="str">
        <f t="shared" si="24"/>
        <v>TRIM-E2220-S3-C3S1-Rev0-001</v>
      </c>
      <c r="H279" t="str">
        <f>_xlfn.LET(_xlpm.rev, _xlfn.XLOOKUP(B279,'CL.SOL5--20251227'!I:I,'CL.SOL5--20251227'!K:K), IF(_xlpm.rev=C279, "-", _xlpm.rev))</f>
        <v>-</v>
      </c>
      <c r="I279">
        <v>278</v>
      </c>
      <c r="J279" t="str">
        <f>_xlfn.XLOOKUP(B279,'CL.SOL5--20251227'!I:I,'CL.SOL5--20251227'!H:H)</f>
        <v>TRIM-E2220-S3-1"-C3S1-HC1</v>
      </c>
    </row>
    <row r="280" spans="1:10" hidden="1">
      <c r="A280" t="s">
        <v>657</v>
      </c>
      <c r="B280" t="str">
        <f t="shared" si="20"/>
        <v>TRIM-E2220-S4</v>
      </c>
      <c r="C280" t="str">
        <f t="shared" si="21"/>
        <v>0</v>
      </c>
      <c r="D280">
        <f t="shared" si="22"/>
        <v>1</v>
      </c>
      <c r="E280">
        <f t="shared" si="23"/>
        <v>1</v>
      </c>
      <c r="F280" t="str">
        <f>_xlfn.LET(_xlpm.count, _xlfn.XLOOKUP(B280,'CL.SOL5--20251227'!I:I,'CL.SOL5--20251227'!L:L), IF(_xlpm.count=E280,"-", _xlpm.count))</f>
        <v>-</v>
      </c>
      <c r="G280" t="str">
        <f t="shared" si="24"/>
        <v>TRIM-E2220-S4-C3S1-Rev0-001</v>
      </c>
      <c r="H280" t="str">
        <f>_xlfn.LET(_xlpm.rev, _xlfn.XLOOKUP(B280,'CL.SOL5--20251227'!I:I,'CL.SOL5--20251227'!K:K), IF(_xlpm.rev=C280, "-", _xlpm.rev))</f>
        <v>-</v>
      </c>
      <c r="I280">
        <v>279</v>
      </c>
      <c r="J280" t="str">
        <f>_xlfn.XLOOKUP(B280,'CL.SOL5--20251227'!I:I,'CL.SOL5--20251227'!H:H)</f>
        <v>TRIM-E2220-S4-1"-C3S1-HC1</v>
      </c>
    </row>
    <row r="281" spans="1:10" hidden="1">
      <c r="A281" t="s">
        <v>658</v>
      </c>
      <c r="B281" t="str">
        <f t="shared" si="20"/>
        <v>TRIM-E2222-S3</v>
      </c>
      <c r="C281" t="str">
        <f t="shared" si="21"/>
        <v>0</v>
      </c>
      <c r="D281">
        <f t="shared" si="22"/>
        <v>1</v>
      </c>
      <c r="E281">
        <f t="shared" si="23"/>
        <v>1</v>
      </c>
      <c r="F281" t="str">
        <f>_xlfn.LET(_xlpm.count, _xlfn.XLOOKUP(B281,'CL.SOL5--20251227'!I:I,'CL.SOL5--20251227'!L:L), IF(_xlpm.count=E281,"-", _xlpm.count))</f>
        <v>-</v>
      </c>
      <c r="G281" t="str">
        <f t="shared" si="24"/>
        <v>TRIM-E2222-S3-S1P1-Rev0-001</v>
      </c>
      <c r="H281" t="str">
        <f>_xlfn.LET(_xlpm.rev, _xlfn.XLOOKUP(B281,'CL.SOL5--20251227'!I:I,'CL.SOL5--20251227'!K:K), IF(_xlpm.rev=C281, "-", _xlpm.rev))</f>
        <v>-</v>
      </c>
      <c r="I281">
        <v>280</v>
      </c>
      <c r="J281" t="str">
        <f>_xlfn.XLOOKUP(B281,'CL.SOL5--20251227'!I:I,'CL.SOL5--20251227'!H:H)</f>
        <v>TRIM-E2222-S3-1/2"-S1P1-C50</v>
      </c>
    </row>
    <row r="282" spans="1:10" hidden="1">
      <c r="A282" t="s">
        <v>659</v>
      </c>
      <c r="B282" t="str">
        <f t="shared" si="20"/>
        <v>TRIM-E2222-S4</v>
      </c>
      <c r="C282" t="str">
        <f t="shared" si="21"/>
        <v>0</v>
      </c>
      <c r="D282">
        <f t="shared" si="22"/>
        <v>1</v>
      </c>
      <c r="E282">
        <f t="shared" si="23"/>
        <v>1</v>
      </c>
      <c r="F282" t="str">
        <f>_xlfn.LET(_xlpm.count, _xlfn.XLOOKUP(B282,'CL.SOL5--20251227'!I:I,'CL.SOL5--20251227'!L:L), IF(_xlpm.count=E282,"-", _xlpm.count))</f>
        <v>-</v>
      </c>
      <c r="G282" t="str">
        <f t="shared" si="24"/>
        <v>TRIM-E2222-S4-S1P1-Rev0-001</v>
      </c>
      <c r="H282" t="str">
        <f>_xlfn.LET(_xlpm.rev, _xlfn.XLOOKUP(B282,'CL.SOL5--20251227'!I:I,'CL.SOL5--20251227'!K:K), IF(_xlpm.rev=C282, "-", _xlpm.rev))</f>
        <v>-</v>
      </c>
      <c r="I282">
        <v>281</v>
      </c>
      <c r="J282" t="str">
        <f>_xlfn.XLOOKUP(B282,'CL.SOL5--20251227'!I:I,'CL.SOL5--20251227'!H:H)</f>
        <v>TRIM-E2222-S4-1/2"-S1P1-C50</v>
      </c>
    </row>
    <row r="283" spans="1:10" hidden="1">
      <c r="A283" t="s">
        <v>660</v>
      </c>
      <c r="B283" t="str">
        <f t="shared" si="20"/>
        <v>TRIM-E2224-T3</v>
      </c>
      <c r="C283" t="str">
        <f t="shared" si="21"/>
        <v>0</v>
      </c>
      <c r="D283">
        <f t="shared" si="22"/>
        <v>1</v>
      </c>
      <c r="E283">
        <f t="shared" si="23"/>
        <v>1</v>
      </c>
      <c r="F283" t="str">
        <f>_xlfn.LET(_xlpm.count, _xlfn.XLOOKUP(B283,'CL.SOL5--20251227'!I:I,'CL.SOL5--20251227'!L:L), IF(_xlpm.count=E283,"-", _xlpm.count))</f>
        <v>-</v>
      </c>
      <c r="G283" t="str">
        <f t="shared" si="24"/>
        <v>TRIM-E2224-T3-S1P1-Rev0-001</v>
      </c>
      <c r="H283" t="str">
        <f>_xlfn.LET(_xlpm.rev, _xlfn.XLOOKUP(B283,'CL.SOL5--20251227'!I:I,'CL.SOL5--20251227'!K:K), IF(_xlpm.rev=C283, "-", _xlpm.rev))</f>
        <v>-</v>
      </c>
      <c r="I283">
        <v>282</v>
      </c>
      <c r="J283" t="str">
        <f>_xlfn.XLOOKUP(B283,'CL.SOL5--20251227'!I:I,'CL.SOL5--20251227'!H:H)</f>
        <v>TRIM-E2224-T3-1/2"-S1P1</v>
      </c>
    </row>
    <row r="284" spans="1:10" hidden="1">
      <c r="A284" t="s">
        <v>661</v>
      </c>
      <c r="B284" t="str">
        <f t="shared" si="20"/>
        <v>TRIM-E2224-T4</v>
      </c>
      <c r="C284" t="str">
        <f t="shared" si="21"/>
        <v>0</v>
      </c>
      <c r="D284">
        <f t="shared" si="22"/>
        <v>1</v>
      </c>
      <c r="E284">
        <f t="shared" si="23"/>
        <v>1</v>
      </c>
      <c r="F284" t="str">
        <f>_xlfn.LET(_xlpm.count, _xlfn.XLOOKUP(B284,'CL.SOL5--20251227'!I:I,'CL.SOL5--20251227'!L:L), IF(_xlpm.count=E284,"-", _xlpm.count))</f>
        <v>-</v>
      </c>
      <c r="G284" t="str">
        <f t="shared" si="24"/>
        <v>TRIM-E2224-T4-S1P1-Rev0-001</v>
      </c>
      <c r="H284" t="str">
        <f>_xlfn.LET(_xlpm.rev, _xlfn.XLOOKUP(B284,'CL.SOL5--20251227'!I:I,'CL.SOL5--20251227'!K:K), IF(_xlpm.rev=C284, "-", _xlpm.rev))</f>
        <v>-</v>
      </c>
      <c r="I284">
        <v>283</v>
      </c>
      <c r="J284" t="str">
        <f>_xlfn.XLOOKUP(B284,'CL.SOL5--20251227'!I:I,'CL.SOL5--20251227'!H:H)</f>
        <v>TRIM-E2224-T4-1/2"-S1P1</v>
      </c>
    </row>
    <row r="285" spans="1:10" hidden="1">
      <c r="A285" t="s">
        <v>662</v>
      </c>
      <c r="B285" t="str">
        <f t="shared" si="20"/>
        <v>TRIM-ES151-N2</v>
      </c>
      <c r="C285" t="str">
        <f t="shared" si="21"/>
        <v>0</v>
      </c>
      <c r="D285">
        <f t="shared" si="22"/>
        <v>1</v>
      </c>
      <c r="E285">
        <f t="shared" si="23"/>
        <v>1</v>
      </c>
      <c r="F285" t="str">
        <f>_xlfn.LET(_xlpm.count, _xlfn.XLOOKUP(B285,'CL.SOL5--20251227'!I:I,'CL.SOL5--20251227'!L:L), IF(_xlpm.count=E285,"-", _xlpm.count))</f>
        <v>-</v>
      </c>
      <c r="G285" t="str">
        <f t="shared" si="24"/>
        <v>TRIM-ES151-N2-S1P1-Rev0-001</v>
      </c>
      <c r="H285" t="str">
        <f>_xlfn.LET(_xlpm.rev, _xlfn.XLOOKUP(B285,'CL.SOL5--20251227'!I:I,'CL.SOL5--20251227'!K:K), IF(_xlpm.rev=C285, "-", _xlpm.rev))</f>
        <v>-</v>
      </c>
      <c r="I285">
        <v>284</v>
      </c>
      <c r="J285" t="str">
        <f>_xlfn.XLOOKUP(B285,'CL.SOL5--20251227'!I:I,'CL.SOL5--20251227'!H:H)</f>
        <v>TRIM-ES151-N2-1.1/2"-S1P1</v>
      </c>
    </row>
    <row r="286" spans="1:10" hidden="1">
      <c r="A286" t="s">
        <v>663</v>
      </c>
      <c r="B286" t="str">
        <f t="shared" si="20"/>
        <v>TRIM-STR22101A-D</v>
      </c>
      <c r="C286" t="str">
        <f t="shared" si="21"/>
        <v>0</v>
      </c>
      <c r="D286">
        <f t="shared" si="22"/>
        <v>1</v>
      </c>
      <c r="E286">
        <f t="shared" si="23"/>
        <v>1</v>
      </c>
      <c r="F286" t="str">
        <f>_xlfn.LET(_xlpm.count, _xlfn.XLOOKUP(B286,'CL.SOL5--20251227'!I:I,'CL.SOL5--20251227'!L:L), IF(_xlpm.count=E286,"-", _xlpm.count))</f>
        <v>-</v>
      </c>
      <c r="G286" t="str">
        <f t="shared" si="24"/>
        <v>TRIM-STR22101A-D-S1PL-Rev0-001</v>
      </c>
      <c r="H286" t="str">
        <f>_xlfn.LET(_xlpm.rev, _xlfn.XLOOKUP(B286,'CL.SOL5--20251227'!I:I,'CL.SOL5--20251227'!K:K), IF(_xlpm.rev=C286, "-", _xlpm.rev))</f>
        <v>-</v>
      </c>
      <c r="I286">
        <v>285</v>
      </c>
      <c r="J286" t="str">
        <f>_xlfn.XLOOKUP(B286,'CL.SOL5--20251227'!I:I,'CL.SOL5--20251227'!H:H)</f>
        <v>TRIM-STR22101A-D-1"-S1PL-HC1</v>
      </c>
    </row>
    <row r="287" spans="1:10" hidden="1">
      <c r="A287" t="s">
        <v>664</v>
      </c>
      <c r="B287" t="str">
        <f t="shared" si="20"/>
        <v>TRIM-STR22101A-V</v>
      </c>
      <c r="C287" t="str">
        <f t="shared" si="21"/>
        <v>0</v>
      </c>
      <c r="D287">
        <f t="shared" si="22"/>
        <v>1</v>
      </c>
      <c r="E287">
        <f t="shared" si="23"/>
        <v>1</v>
      </c>
      <c r="F287" t="str">
        <f>_xlfn.LET(_xlpm.count, _xlfn.XLOOKUP(B287,'CL.SOL5--20251227'!I:I,'CL.SOL5--20251227'!L:L), IF(_xlpm.count=E287,"-", _xlpm.count))</f>
        <v>-</v>
      </c>
      <c r="G287" t="str">
        <f t="shared" si="24"/>
        <v>TRIM-STR22101A-V-S1PL-Rev0-001</v>
      </c>
      <c r="H287" t="str">
        <f>_xlfn.LET(_xlpm.rev, _xlfn.XLOOKUP(B287,'CL.SOL5--20251227'!I:I,'CL.SOL5--20251227'!K:K), IF(_xlpm.rev=C287, "-", _xlpm.rev))</f>
        <v>-</v>
      </c>
      <c r="I287">
        <v>286</v>
      </c>
      <c r="J287" t="str">
        <f>_xlfn.XLOOKUP(B287,'CL.SOL5--20251227'!I:I,'CL.SOL5--20251227'!H:H)</f>
        <v>TRIM-STR22101A-V-1"-S1PL-HC1</v>
      </c>
    </row>
    <row r="288" spans="1:10" hidden="1">
      <c r="A288" t="s">
        <v>665</v>
      </c>
      <c r="B288" t="str">
        <f t="shared" si="20"/>
        <v>TRIM-STR22101B-D</v>
      </c>
      <c r="C288" t="str">
        <f t="shared" si="21"/>
        <v>0</v>
      </c>
      <c r="D288">
        <f t="shared" si="22"/>
        <v>1</v>
      </c>
      <c r="E288">
        <f t="shared" si="23"/>
        <v>1</v>
      </c>
      <c r="F288" t="str">
        <f>_xlfn.LET(_xlpm.count, _xlfn.XLOOKUP(B288,'CL.SOL5--20251227'!I:I,'CL.SOL5--20251227'!L:L), IF(_xlpm.count=E288,"-", _xlpm.count))</f>
        <v>-</v>
      </c>
      <c r="G288" t="str">
        <f t="shared" si="24"/>
        <v>TRIM-STR22101B-D-S1PL-Rev0-001</v>
      </c>
      <c r="H288" t="str">
        <f>_xlfn.LET(_xlpm.rev, _xlfn.XLOOKUP(B288,'CL.SOL5--20251227'!I:I,'CL.SOL5--20251227'!K:K), IF(_xlpm.rev=C288, "-", _xlpm.rev))</f>
        <v>-</v>
      </c>
      <c r="I288">
        <v>287</v>
      </c>
      <c r="J288" t="str">
        <f>_xlfn.XLOOKUP(B288,'CL.SOL5--20251227'!I:I,'CL.SOL5--20251227'!H:H)</f>
        <v>TRIM-STR22101B-D-1"-S1PL-HC1</v>
      </c>
    </row>
    <row r="289" spans="1:10" hidden="1">
      <c r="A289" t="s">
        <v>666</v>
      </c>
      <c r="B289" t="str">
        <f t="shared" si="20"/>
        <v>TRIM-STR22101B-V</v>
      </c>
      <c r="C289" t="str">
        <f t="shared" si="21"/>
        <v>0</v>
      </c>
      <c r="D289">
        <f t="shared" si="22"/>
        <v>1</v>
      </c>
      <c r="E289">
        <f t="shared" si="23"/>
        <v>1</v>
      </c>
      <c r="F289" t="str">
        <f>_xlfn.LET(_xlpm.count, _xlfn.XLOOKUP(B289,'CL.SOL5--20251227'!I:I,'CL.SOL5--20251227'!L:L), IF(_xlpm.count=E289,"-", _xlpm.count))</f>
        <v>-</v>
      </c>
      <c r="G289" t="str">
        <f t="shared" si="24"/>
        <v>TRIM-STR22101B-V-S1PL-Rev0-001</v>
      </c>
      <c r="H289" t="str">
        <f>_xlfn.LET(_xlpm.rev, _xlfn.XLOOKUP(B289,'CL.SOL5--20251227'!I:I,'CL.SOL5--20251227'!K:K), IF(_xlpm.rev=C289, "-", _xlpm.rev))</f>
        <v>-</v>
      </c>
      <c r="I289">
        <v>288</v>
      </c>
      <c r="J289" t="str">
        <f>_xlfn.XLOOKUP(B289,'CL.SOL5--20251227'!I:I,'CL.SOL5--20251227'!H:H)</f>
        <v>TRIM-STR22101B-V-1"-S1PL-HC1</v>
      </c>
    </row>
    <row r="290" spans="1:10" hidden="1">
      <c r="A290" t="s">
        <v>667</v>
      </c>
      <c r="B290" t="str">
        <f t="shared" si="20"/>
        <v>TRIM-STR22111A-D</v>
      </c>
      <c r="C290" t="str">
        <f t="shared" si="21"/>
        <v>0</v>
      </c>
      <c r="D290">
        <f t="shared" si="22"/>
        <v>1</v>
      </c>
      <c r="E290">
        <f t="shared" si="23"/>
        <v>1</v>
      </c>
      <c r="F290" t="str">
        <f>_xlfn.LET(_xlpm.count, _xlfn.XLOOKUP(B290,'CL.SOL5--20251227'!I:I,'CL.SOL5--20251227'!L:L), IF(_xlpm.count=E290,"-", _xlpm.count))</f>
        <v>-</v>
      </c>
      <c r="G290" t="str">
        <f t="shared" si="24"/>
        <v>TRIM-STR22111A-D-S1PL-Rev0-001</v>
      </c>
      <c r="H290" t="str">
        <f>_xlfn.LET(_xlpm.rev, _xlfn.XLOOKUP(B290,'CL.SOL5--20251227'!I:I,'CL.SOL5--20251227'!K:K), IF(_xlpm.rev=C290, "-", _xlpm.rev))</f>
        <v>-</v>
      </c>
      <c r="I290">
        <v>289</v>
      </c>
      <c r="J290" t="str">
        <f>_xlfn.XLOOKUP(B290,'CL.SOL5--20251227'!I:I,'CL.SOL5--20251227'!H:H)</f>
        <v>TRIM-STR22111A-D-1"-S1PL-HC1</v>
      </c>
    </row>
    <row r="291" spans="1:10" hidden="1">
      <c r="A291" t="s">
        <v>668</v>
      </c>
      <c r="B291" t="str">
        <f t="shared" si="20"/>
        <v>TRIM-STR22111A-V</v>
      </c>
      <c r="C291" t="str">
        <f t="shared" si="21"/>
        <v>0</v>
      </c>
      <c r="D291">
        <f t="shared" si="22"/>
        <v>1</v>
      </c>
      <c r="E291">
        <f t="shared" si="23"/>
        <v>1</v>
      </c>
      <c r="F291" t="str">
        <f>_xlfn.LET(_xlpm.count, _xlfn.XLOOKUP(B291,'CL.SOL5--20251227'!I:I,'CL.SOL5--20251227'!L:L), IF(_xlpm.count=E291,"-", _xlpm.count))</f>
        <v>-</v>
      </c>
      <c r="G291" t="str">
        <f t="shared" si="24"/>
        <v>TRIM-STR22111A-V-S1PL-Rev0-001</v>
      </c>
      <c r="H291" t="str">
        <f>_xlfn.LET(_xlpm.rev, _xlfn.XLOOKUP(B291,'CL.SOL5--20251227'!I:I,'CL.SOL5--20251227'!K:K), IF(_xlpm.rev=C291, "-", _xlpm.rev))</f>
        <v>-</v>
      </c>
      <c r="I291">
        <v>290</v>
      </c>
      <c r="J291" t="str">
        <f>_xlfn.XLOOKUP(B291,'CL.SOL5--20251227'!I:I,'CL.SOL5--20251227'!H:H)</f>
        <v>TRIM-STR22111A-V-1"-S1PL-HC1</v>
      </c>
    </row>
    <row r="292" spans="1:10" hidden="1">
      <c r="A292" t="s">
        <v>669</v>
      </c>
      <c r="B292" t="str">
        <f t="shared" si="20"/>
        <v>TRIM-STR22111B-D</v>
      </c>
      <c r="C292" t="str">
        <f t="shared" si="21"/>
        <v>0</v>
      </c>
      <c r="D292">
        <f t="shared" si="22"/>
        <v>1</v>
      </c>
      <c r="E292">
        <f t="shared" si="23"/>
        <v>1</v>
      </c>
      <c r="F292" t="str">
        <f>_xlfn.LET(_xlpm.count, _xlfn.XLOOKUP(B292,'CL.SOL5--20251227'!I:I,'CL.SOL5--20251227'!L:L), IF(_xlpm.count=E292,"-", _xlpm.count))</f>
        <v>-</v>
      </c>
      <c r="G292" t="str">
        <f t="shared" si="24"/>
        <v>TRIM-STR22111B-D-S1PL-Rev0-001</v>
      </c>
      <c r="H292" t="str">
        <f>_xlfn.LET(_xlpm.rev, _xlfn.XLOOKUP(B292,'CL.SOL5--20251227'!I:I,'CL.SOL5--20251227'!K:K), IF(_xlpm.rev=C292, "-", _xlpm.rev))</f>
        <v>-</v>
      </c>
      <c r="I292">
        <v>291</v>
      </c>
      <c r="J292" t="str">
        <f>_xlfn.XLOOKUP(B292,'CL.SOL5--20251227'!I:I,'CL.SOL5--20251227'!H:H)</f>
        <v>TRIM-STR22111B-D-1"-S1PL-HC1</v>
      </c>
    </row>
    <row r="293" spans="1:10" hidden="1">
      <c r="A293" t="s">
        <v>670</v>
      </c>
      <c r="B293" t="str">
        <f t="shared" si="20"/>
        <v>TRIM-STR22111B-V</v>
      </c>
      <c r="C293" t="str">
        <f t="shared" si="21"/>
        <v>0</v>
      </c>
      <c r="D293">
        <f t="shared" si="22"/>
        <v>1</v>
      </c>
      <c r="E293">
        <f t="shared" si="23"/>
        <v>1</v>
      </c>
      <c r="F293" t="str">
        <f>_xlfn.LET(_xlpm.count, _xlfn.XLOOKUP(B293,'CL.SOL5--20251227'!I:I,'CL.SOL5--20251227'!L:L), IF(_xlpm.count=E293,"-", _xlpm.count))</f>
        <v>-</v>
      </c>
      <c r="G293" t="str">
        <f t="shared" si="24"/>
        <v>TRIM-STR22111B-V-S1PL-Rev0-001</v>
      </c>
      <c r="H293" t="str">
        <f>_xlfn.LET(_xlpm.rev, _xlfn.XLOOKUP(B293,'CL.SOL5--20251227'!I:I,'CL.SOL5--20251227'!K:K), IF(_xlpm.rev=C293, "-", _xlpm.rev))</f>
        <v>-</v>
      </c>
      <c r="I293">
        <v>292</v>
      </c>
      <c r="J293" t="str">
        <f>_xlfn.XLOOKUP(B293,'CL.SOL5--20251227'!I:I,'CL.SOL5--20251227'!H:H)</f>
        <v>TRIM-STR22111B-V-1"-S1PL-HC1</v>
      </c>
    </row>
    <row r="294" spans="1:10" hidden="1">
      <c r="A294" t="s">
        <v>671</v>
      </c>
      <c r="B294" t="str">
        <f t="shared" si="20"/>
        <v>TRIM-STR22201A-D</v>
      </c>
      <c r="C294" t="str">
        <f t="shared" si="21"/>
        <v>0</v>
      </c>
      <c r="D294">
        <f t="shared" si="22"/>
        <v>1</v>
      </c>
      <c r="E294">
        <f t="shared" si="23"/>
        <v>1</v>
      </c>
      <c r="F294" t="str">
        <f>_xlfn.LET(_xlpm.count, _xlfn.XLOOKUP(B294,'CL.SOL5--20251227'!I:I,'CL.SOL5--20251227'!L:L), IF(_xlpm.count=E294,"-", _xlpm.count))</f>
        <v>-</v>
      </c>
      <c r="G294" t="str">
        <f t="shared" si="24"/>
        <v>TRIM-STR22201A-D-S1PL-Rev0-001</v>
      </c>
      <c r="H294" t="str">
        <f>_xlfn.LET(_xlpm.rev, _xlfn.XLOOKUP(B294,'CL.SOL5--20251227'!I:I,'CL.SOL5--20251227'!K:K), IF(_xlpm.rev=C294, "-", _xlpm.rev))</f>
        <v>-</v>
      </c>
      <c r="I294">
        <v>293</v>
      </c>
      <c r="J294" t="str">
        <f>_xlfn.XLOOKUP(B294,'CL.SOL5--20251227'!I:I,'CL.SOL5--20251227'!H:H)</f>
        <v>TRIM-STR22201A-D-1"-S1PL-HC1</v>
      </c>
    </row>
    <row r="295" spans="1:10" hidden="1">
      <c r="A295" t="s">
        <v>672</v>
      </c>
      <c r="B295" t="str">
        <f t="shared" si="20"/>
        <v>TRIM-STR22201A-V</v>
      </c>
      <c r="C295" t="str">
        <f t="shared" si="21"/>
        <v>0</v>
      </c>
      <c r="D295">
        <f t="shared" si="22"/>
        <v>1</v>
      </c>
      <c r="E295">
        <f t="shared" si="23"/>
        <v>1</v>
      </c>
      <c r="F295" t="str">
        <f>_xlfn.LET(_xlpm.count, _xlfn.XLOOKUP(B295,'CL.SOL5--20251227'!I:I,'CL.SOL5--20251227'!L:L), IF(_xlpm.count=E295,"-", _xlpm.count))</f>
        <v>-</v>
      </c>
      <c r="G295" t="str">
        <f t="shared" si="24"/>
        <v>TRIM-STR22201A-V-S1PL-Rev0-001</v>
      </c>
      <c r="H295" t="str">
        <f>_xlfn.LET(_xlpm.rev, _xlfn.XLOOKUP(B295,'CL.SOL5--20251227'!I:I,'CL.SOL5--20251227'!K:K), IF(_xlpm.rev=C295, "-", _xlpm.rev))</f>
        <v>-</v>
      </c>
      <c r="I295">
        <v>294</v>
      </c>
      <c r="J295" t="str">
        <f>_xlfn.XLOOKUP(B295,'CL.SOL5--20251227'!I:I,'CL.SOL5--20251227'!H:H)</f>
        <v>TRIM-STR22201A-V-1"-S1PL-HC1</v>
      </c>
    </row>
    <row r="296" spans="1:10" hidden="1">
      <c r="A296" t="s">
        <v>673</v>
      </c>
      <c r="B296" t="str">
        <f t="shared" si="20"/>
        <v>TRIM-STR22201B-D</v>
      </c>
      <c r="C296" t="str">
        <f t="shared" si="21"/>
        <v>0</v>
      </c>
      <c r="D296">
        <f t="shared" si="22"/>
        <v>1</v>
      </c>
      <c r="E296">
        <f t="shared" si="23"/>
        <v>1</v>
      </c>
      <c r="F296" t="str">
        <f>_xlfn.LET(_xlpm.count, _xlfn.XLOOKUP(B296,'CL.SOL5--20251227'!I:I,'CL.SOL5--20251227'!L:L), IF(_xlpm.count=E296,"-", _xlpm.count))</f>
        <v>-</v>
      </c>
      <c r="G296" t="str">
        <f t="shared" si="24"/>
        <v>TRIM-STR22201B-D-S1PL-Rev0-001</v>
      </c>
      <c r="H296" t="str">
        <f>_xlfn.LET(_xlpm.rev, _xlfn.XLOOKUP(B296,'CL.SOL5--20251227'!I:I,'CL.SOL5--20251227'!K:K), IF(_xlpm.rev=C296, "-", _xlpm.rev))</f>
        <v>-</v>
      </c>
      <c r="I296">
        <v>295</v>
      </c>
      <c r="J296" t="str">
        <f>_xlfn.XLOOKUP(B296,'CL.SOL5--20251227'!I:I,'CL.SOL5--20251227'!H:H)</f>
        <v>TRIM-STR22201B-D-1"-S1PL-HC1</v>
      </c>
    </row>
    <row r="297" spans="1:10" hidden="1">
      <c r="A297" t="s">
        <v>674</v>
      </c>
      <c r="B297" t="str">
        <f t="shared" si="20"/>
        <v>TRIM-STR22201B-V</v>
      </c>
      <c r="C297" t="str">
        <f t="shared" si="21"/>
        <v>0</v>
      </c>
      <c r="D297">
        <f t="shared" si="22"/>
        <v>1</v>
      </c>
      <c r="E297">
        <f t="shared" si="23"/>
        <v>1</v>
      </c>
      <c r="F297" t="str">
        <f>_xlfn.LET(_xlpm.count, _xlfn.XLOOKUP(B297,'CL.SOL5--20251227'!I:I,'CL.SOL5--20251227'!L:L), IF(_xlpm.count=E297,"-", _xlpm.count))</f>
        <v>-</v>
      </c>
      <c r="G297" t="str">
        <f t="shared" si="24"/>
        <v>TRIM-STR22201B-V-S1PL-Rev0-001</v>
      </c>
      <c r="H297" t="str">
        <f>_xlfn.LET(_xlpm.rev, _xlfn.XLOOKUP(B297,'CL.SOL5--20251227'!I:I,'CL.SOL5--20251227'!K:K), IF(_xlpm.rev=C297, "-", _xlpm.rev))</f>
        <v>-</v>
      </c>
      <c r="I297">
        <v>296</v>
      </c>
      <c r="J297" t="str">
        <f>_xlfn.XLOOKUP(B297,'CL.SOL5--20251227'!I:I,'CL.SOL5--20251227'!H:H)</f>
        <v>TRIM-STR22201B-V-1"-S1PL-HC1</v>
      </c>
    </row>
    <row r="298" spans="1:10" hidden="1">
      <c r="A298" t="s">
        <v>675</v>
      </c>
      <c r="B298" t="str">
        <f t="shared" si="20"/>
        <v>TRIM-T2210-N47AB</v>
      </c>
      <c r="C298" t="str">
        <f t="shared" si="21"/>
        <v>1</v>
      </c>
      <c r="D298">
        <f t="shared" si="22"/>
        <v>1</v>
      </c>
      <c r="E298">
        <f t="shared" si="23"/>
        <v>2</v>
      </c>
      <c r="F298" t="str">
        <f>_xlfn.LET(_xlpm.count, _xlfn.XLOOKUP(B298,'CL.SOL5--20251227'!I:I,'CL.SOL5--20251227'!L:L), IF(_xlpm.count=E298,"-", _xlpm.count))</f>
        <v>-</v>
      </c>
      <c r="G298" t="str">
        <f t="shared" si="24"/>
        <v>TRIM-T2210-N47AB-S1PL-Rev1-001</v>
      </c>
      <c r="H298" t="str">
        <f>_xlfn.LET(_xlpm.rev, _xlfn.XLOOKUP(B298,'CL.SOL5--20251227'!I:I,'CL.SOL5--20251227'!K:K), IF(_xlpm.rev=C298, "-", _xlpm.rev))</f>
        <v>-</v>
      </c>
      <c r="I298">
        <v>297</v>
      </c>
      <c r="J298" t="str">
        <f>_xlfn.XLOOKUP(B298,'CL.SOL5--20251227'!I:I,'CL.SOL5--20251227'!H:H)</f>
        <v>TRIM-T2210-N47AB-2"-S1PL</v>
      </c>
    </row>
    <row r="299" spans="1:10" hidden="1">
      <c r="A299" t="s">
        <v>676</v>
      </c>
      <c r="B299" t="str">
        <f t="shared" si="20"/>
        <v>TRIM-T2210-N47AB</v>
      </c>
      <c r="C299" t="str">
        <f t="shared" si="21"/>
        <v>1</v>
      </c>
      <c r="D299">
        <f t="shared" si="22"/>
        <v>2</v>
      </c>
      <c r="E299">
        <f t="shared" si="23"/>
        <v>2</v>
      </c>
      <c r="F299" t="str">
        <f>_xlfn.LET(_xlpm.count, _xlfn.XLOOKUP(B299,'CL.SOL5--20251227'!I:I,'CL.SOL5--20251227'!L:L), IF(_xlpm.count=E299,"-", _xlpm.count))</f>
        <v>-</v>
      </c>
      <c r="G299" t="str">
        <f t="shared" si="24"/>
        <v>TRIM-T2210-N47AB-S1PL-Rev1-002</v>
      </c>
      <c r="H299" t="str">
        <f>_xlfn.LET(_xlpm.rev, _xlfn.XLOOKUP(B299,'CL.SOL5--20251227'!I:I,'CL.SOL5--20251227'!K:K), IF(_xlpm.rev=C299, "-", _xlpm.rev))</f>
        <v>-</v>
      </c>
      <c r="I299">
        <v>298</v>
      </c>
      <c r="J299" t="str">
        <f>_xlfn.XLOOKUP(B299,'CL.SOL5--20251227'!I:I,'CL.SOL5--20251227'!H:H)</f>
        <v>TRIM-T2210-N47AB-2"-S1PL</v>
      </c>
    </row>
    <row r="300" spans="1:10" hidden="1">
      <c r="A300" t="s">
        <v>677</v>
      </c>
      <c r="B300" t="str">
        <f t="shared" si="20"/>
        <v>TRIM-T2220-N35</v>
      </c>
      <c r="C300" t="str">
        <f t="shared" si="21"/>
        <v>0</v>
      </c>
      <c r="D300">
        <f t="shared" si="22"/>
        <v>1</v>
      </c>
      <c r="E300">
        <f t="shared" si="23"/>
        <v>1</v>
      </c>
      <c r="F300" t="str">
        <f>_xlfn.LET(_xlpm.count, _xlfn.XLOOKUP(B300,'CL.SOL5--20251227'!I:I,'CL.SOL5--20251227'!L:L), IF(_xlpm.count=E300,"-", _xlpm.count))</f>
        <v>-</v>
      </c>
      <c r="G300" t="str">
        <f t="shared" si="24"/>
        <v>TRIM-T2220-N35-S1PL-Rev0-001</v>
      </c>
      <c r="H300" t="str">
        <f>_xlfn.LET(_xlpm.rev, _xlfn.XLOOKUP(B300,'CL.SOL5--20251227'!I:I,'CL.SOL5--20251227'!K:K), IF(_xlpm.rev=C300, "-", _xlpm.rev))</f>
        <v>-</v>
      </c>
      <c r="I300">
        <v>299</v>
      </c>
      <c r="J300" t="str">
        <f>_xlfn.XLOOKUP(B300,'CL.SOL5--20251227'!I:I,'CL.SOL5--20251227'!H:H)</f>
        <v>TRIM-T2220-N35-2"-S1PL</v>
      </c>
    </row>
    <row r="301" spans="1:10" hidden="1">
      <c r="A301" t="s">
        <v>678</v>
      </c>
      <c r="B301" t="str">
        <f t="shared" si="20"/>
        <v>TRIM-T2220-N38</v>
      </c>
      <c r="C301" t="str">
        <f t="shared" si="21"/>
        <v>0</v>
      </c>
      <c r="D301">
        <f t="shared" si="22"/>
        <v>1</v>
      </c>
      <c r="E301">
        <f t="shared" si="23"/>
        <v>1</v>
      </c>
      <c r="F301" t="str">
        <f>_xlfn.LET(_xlpm.count, _xlfn.XLOOKUP(B301,'CL.SOL5--20251227'!I:I,'CL.SOL5--20251227'!L:L), IF(_xlpm.count=E301,"-", _xlpm.count))</f>
        <v>-</v>
      </c>
      <c r="G301" t="str">
        <f t="shared" si="24"/>
        <v>TRIM-T2220-N38-S1PL-Rev0-001</v>
      </c>
      <c r="H301" t="str">
        <f>_xlfn.LET(_xlpm.rev, _xlfn.XLOOKUP(B301,'CL.SOL5--20251227'!I:I,'CL.SOL5--20251227'!K:K), IF(_xlpm.rev=C301, "-", _xlpm.rev))</f>
        <v>-</v>
      </c>
      <c r="I301">
        <v>300</v>
      </c>
      <c r="J301" t="str">
        <f>_xlfn.XLOOKUP(B301,'CL.SOL5--20251227'!I:I,'CL.SOL5--20251227'!H:H)</f>
        <v>TRIM-T2220-N38-2"-S1PL</v>
      </c>
    </row>
    <row r="302" spans="1:10" hidden="1">
      <c r="A302" t="s">
        <v>679</v>
      </c>
      <c r="B302" t="str">
        <f t="shared" si="20"/>
        <v>TRIM-T2220-N47AB</v>
      </c>
      <c r="C302" t="str">
        <f t="shared" si="21"/>
        <v>0</v>
      </c>
      <c r="D302">
        <f t="shared" si="22"/>
        <v>1</v>
      </c>
      <c r="E302">
        <f t="shared" si="23"/>
        <v>2</v>
      </c>
      <c r="F302" t="str">
        <f>_xlfn.LET(_xlpm.count, _xlfn.XLOOKUP(B302,'CL.SOL5--20251227'!I:I,'CL.SOL5--20251227'!L:L), IF(_xlpm.count=E302,"-", _xlpm.count))</f>
        <v>-</v>
      </c>
      <c r="G302" t="str">
        <f t="shared" si="24"/>
        <v>TRIM-T2220-N47AB-S1PL-Rev0-001</v>
      </c>
      <c r="H302" t="str">
        <f>_xlfn.LET(_xlpm.rev, _xlfn.XLOOKUP(B302,'CL.SOL5--20251227'!I:I,'CL.SOL5--20251227'!K:K), IF(_xlpm.rev=C302, "-", _xlpm.rev))</f>
        <v>-</v>
      </c>
      <c r="I302">
        <v>301</v>
      </c>
      <c r="J302" t="str">
        <f>_xlfn.XLOOKUP(B302,'CL.SOL5--20251227'!I:I,'CL.SOL5--20251227'!H:H)</f>
        <v>TRIM-T2220-N47AB-2"-S1PL</v>
      </c>
    </row>
    <row r="303" spans="1:10" hidden="1">
      <c r="A303" t="s">
        <v>680</v>
      </c>
      <c r="B303" t="str">
        <f t="shared" si="20"/>
        <v>TRIM-T2220-N47AB</v>
      </c>
      <c r="C303" t="str">
        <f t="shared" si="21"/>
        <v>0</v>
      </c>
      <c r="D303">
        <f t="shared" si="22"/>
        <v>2</v>
      </c>
      <c r="E303">
        <f t="shared" si="23"/>
        <v>2</v>
      </c>
      <c r="F303" t="str">
        <f>_xlfn.LET(_xlpm.count, _xlfn.XLOOKUP(B303,'CL.SOL5--20251227'!I:I,'CL.SOL5--20251227'!L:L), IF(_xlpm.count=E303,"-", _xlpm.count))</f>
        <v>-</v>
      </c>
      <c r="G303" t="str">
        <f t="shared" si="24"/>
        <v>TRIM-T2220-N47AB-S1PL-Rev0-002</v>
      </c>
      <c r="H303" t="str">
        <f>_xlfn.LET(_xlpm.rev, _xlfn.XLOOKUP(B303,'CL.SOL5--20251227'!I:I,'CL.SOL5--20251227'!K:K), IF(_xlpm.rev=C303, "-", _xlpm.rev))</f>
        <v>-</v>
      </c>
      <c r="I303">
        <v>302</v>
      </c>
      <c r="J303" t="str">
        <f>_xlfn.XLOOKUP(B303,'CL.SOL5--20251227'!I:I,'CL.SOL5--20251227'!H:H)</f>
        <v>TRIM-T2220-N47AB-2"-S1PL</v>
      </c>
    </row>
    <row r="304" spans="1:10" hidden="1">
      <c r="A304" t="s">
        <v>681</v>
      </c>
      <c r="B304" t="str">
        <f t="shared" si="20"/>
        <v>WW-22101</v>
      </c>
      <c r="C304" t="str">
        <f t="shared" si="21"/>
        <v>0</v>
      </c>
      <c r="D304">
        <f t="shared" si="22"/>
        <v>1</v>
      </c>
      <c r="E304">
        <f t="shared" si="23"/>
        <v>2</v>
      </c>
      <c r="F304" t="str">
        <f>_xlfn.LET(_xlpm.count, _xlfn.XLOOKUP(B304,'CL.SOL5--20251227'!I:I,'CL.SOL5--20251227'!L:L), IF(_xlpm.count=E304,"-", _xlpm.count))</f>
        <v>-</v>
      </c>
      <c r="G304" t="str">
        <f t="shared" si="24"/>
        <v>WW-22101-S1P4-Rev0-001</v>
      </c>
      <c r="H304" t="str">
        <f>_xlfn.LET(_xlpm.rev, _xlfn.XLOOKUP(B304,'CL.SOL5--20251227'!I:I,'CL.SOL5--20251227'!K:K), IF(_xlpm.rev=C304, "-", _xlpm.rev))</f>
        <v>-</v>
      </c>
      <c r="I304">
        <v>303</v>
      </c>
      <c r="J304" t="str">
        <f>_xlfn.XLOOKUP(B304,'CL.SOL5--20251227'!I:I,'CL.SOL5--20251227'!H:H)</f>
        <v>WW-22101-1"-S1P4-PP1</v>
      </c>
    </row>
    <row r="305" spans="1:10" hidden="1">
      <c r="A305" t="s">
        <v>682</v>
      </c>
      <c r="B305" t="str">
        <f t="shared" si="20"/>
        <v>WW-22101</v>
      </c>
      <c r="C305" t="str">
        <f t="shared" si="21"/>
        <v>0</v>
      </c>
      <c r="D305">
        <f t="shared" si="22"/>
        <v>2</v>
      </c>
      <c r="E305">
        <f t="shared" si="23"/>
        <v>2</v>
      </c>
      <c r="F305" t="str">
        <f>_xlfn.LET(_xlpm.count, _xlfn.XLOOKUP(B305,'CL.SOL5--20251227'!I:I,'CL.SOL5--20251227'!L:L), IF(_xlpm.count=E305,"-", _xlpm.count))</f>
        <v>-</v>
      </c>
      <c r="G305" t="str">
        <f t="shared" si="24"/>
        <v>WW-22101-S1P4-Rev0-002</v>
      </c>
      <c r="H305" t="str">
        <f>_xlfn.LET(_xlpm.rev, _xlfn.XLOOKUP(B305,'CL.SOL5--20251227'!I:I,'CL.SOL5--20251227'!K:K), IF(_xlpm.rev=C305, "-", _xlpm.rev))</f>
        <v>-</v>
      </c>
      <c r="I305">
        <v>304</v>
      </c>
      <c r="J305" t="str">
        <f>_xlfn.XLOOKUP(B305,'CL.SOL5--20251227'!I:I,'CL.SOL5--20251227'!H:H)</f>
        <v>WW-22101-1"-S1P4-PP1</v>
      </c>
    </row>
    <row r="306" spans="1:10" hidden="1">
      <c r="A306" t="s">
        <v>683</v>
      </c>
      <c r="B306" t="str">
        <f t="shared" si="20"/>
        <v>WW-22201</v>
      </c>
      <c r="C306" t="str">
        <f t="shared" si="21"/>
        <v>0</v>
      </c>
      <c r="D306">
        <f t="shared" si="22"/>
        <v>1</v>
      </c>
      <c r="E306">
        <f t="shared" si="23"/>
        <v>1</v>
      </c>
      <c r="F306" t="str">
        <f>_xlfn.LET(_xlpm.count, _xlfn.XLOOKUP(B306,'CL.SOL5--20251227'!I:I,'CL.SOL5--20251227'!L:L), IF(_xlpm.count=E306,"-", _xlpm.count))</f>
        <v>-</v>
      </c>
      <c r="G306" t="str">
        <f t="shared" si="24"/>
        <v>WW-22201-S1P4-Rev0-001</v>
      </c>
      <c r="H306" t="str">
        <f>_xlfn.LET(_xlpm.rev, _xlfn.XLOOKUP(B306,'CL.SOL5--20251227'!I:I,'CL.SOL5--20251227'!K:K), IF(_xlpm.rev=C306, "-", _xlpm.rev))</f>
        <v>-</v>
      </c>
      <c r="I306">
        <v>305</v>
      </c>
      <c r="J306" t="str">
        <f>_xlfn.XLOOKUP(B306,'CL.SOL5--20251227'!I:I,'CL.SOL5--20251227'!H:H)</f>
        <v>WW-22201-1.1/2"-S1P4</v>
      </c>
    </row>
    <row r="307" spans="1:10" hidden="1">
      <c r="A307" t="s">
        <v>684</v>
      </c>
      <c r="B307" t="str">
        <f t="shared" si="20"/>
        <v>WW-22202</v>
      </c>
      <c r="C307" t="str">
        <f t="shared" si="21"/>
        <v>0</v>
      </c>
      <c r="D307">
        <f t="shared" si="22"/>
        <v>1</v>
      </c>
      <c r="E307">
        <f t="shared" si="23"/>
        <v>2</v>
      </c>
      <c r="F307" t="str">
        <f>_xlfn.LET(_xlpm.count, _xlfn.XLOOKUP(B307,'CL.SOL5--20251227'!I:I,'CL.SOL5--20251227'!L:L), IF(_xlpm.count=E307,"-", _xlpm.count))</f>
        <v>-</v>
      </c>
      <c r="G307" t="str">
        <f t="shared" si="24"/>
        <v>WW-22202-S1P4-Rev0-001</v>
      </c>
      <c r="H307" t="str">
        <f>_xlfn.LET(_xlpm.rev, _xlfn.XLOOKUP(B307,'CL.SOL5--20251227'!I:I,'CL.SOL5--20251227'!K:K), IF(_xlpm.rev=C307, "-", _xlpm.rev))</f>
        <v>-</v>
      </c>
      <c r="I307">
        <v>306</v>
      </c>
      <c r="J307" t="str">
        <f>_xlfn.XLOOKUP(B307,'CL.SOL5--20251227'!I:I,'CL.SOL5--20251227'!H:H)</f>
        <v>WW-22202-1.1/2"-S1P4-PP1</v>
      </c>
    </row>
    <row r="308" spans="1:10" hidden="1">
      <c r="A308" t="s">
        <v>685</v>
      </c>
      <c r="B308" t="str">
        <f t="shared" si="20"/>
        <v>WW-22202</v>
      </c>
      <c r="C308" t="str">
        <f t="shared" si="21"/>
        <v>0</v>
      </c>
      <c r="D308">
        <f t="shared" si="22"/>
        <v>2</v>
      </c>
      <c r="E308">
        <f t="shared" si="23"/>
        <v>2</v>
      </c>
      <c r="F308" t="str">
        <f>_xlfn.LET(_xlpm.count, _xlfn.XLOOKUP(B308,'CL.SOL5--20251227'!I:I,'CL.SOL5--20251227'!L:L), IF(_xlpm.count=E308,"-", _xlpm.count))</f>
        <v>-</v>
      </c>
      <c r="G308" t="str">
        <f t="shared" si="24"/>
        <v>WW-22202-S1P4-Rev0-002</v>
      </c>
      <c r="H308" t="str">
        <f>_xlfn.LET(_xlpm.rev, _xlfn.XLOOKUP(B308,'CL.SOL5--20251227'!I:I,'CL.SOL5--20251227'!K:K), IF(_xlpm.rev=C308, "-", _xlpm.rev))</f>
        <v>-</v>
      </c>
      <c r="I308">
        <v>307</v>
      </c>
      <c r="J308" t="str">
        <f>_xlfn.XLOOKUP(B308,'CL.SOL5--20251227'!I:I,'CL.SOL5--20251227'!H:H)</f>
        <v>WW-22202-1.1/2"-S1P4-PP1</v>
      </c>
    </row>
    <row r="309" spans="1:10" hidden="1">
      <c r="A309" t="s">
        <v>686</v>
      </c>
      <c r="B309" t="str">
        <f t="shared" si="20"/>
        <v>WW-22371</v>
      </c>
      <c r="C309" t="str">
        <f t="shared" si="21"/>
        <v>0</v>
      </c>
      <c r="D309">
        <f t="shared" si="22"/>
        <v>1</v>
      </c>
      <c r="E309">
        <f t="shared" si="23"/>
        <v>5</v>
      </c>
      <c r="F309" t="str">
        <f>_xlfn.LET(_xlpm.count, _xlfn.XLOOKUP(B309,'CL.SOL5--20251227'!I:I,'CL.SOL5--20251227'!L:L), IF(_xlpm.count=E309,"-", _xlpm.count))</f>
        <v>-</v>
      </c>
      <c r="G309" t="str">
        <f t="shared" si="24"/>
        <v>WW-22371-S1P4-Rev0-001</v>
      </c>
      <c r="H309" t="str">
        <f>_xlfn.LET(_xlpm.rev, _xlfn.XLOOKUP(B309,'CL.SOL5--20251227'!I:I,'CL.SOL5--20251227'!K:K), IF(_xlpm.rev=C309, "-", _xlpm.rev))</f>
        <v>-</v>
      </c>
      <c r="I309">
        <v>308</v>
      </c>
      <c r="J309" t="str">
        <f>_xlfn.XLOOKUP(B309,'CL.SOL5--20251227'!I:I,'CL.SOL5--20251227'!H:H)</f>
        <v>WW-22371-1.1/2"-S1P4</v>
      </c>
    </row>
    <row r="310" spans="1:10" hidden="1">
      <c r="A310" t="s">
        <v>687</v>
      </c>
      <c r="B310" t="str">
        <f t="shared" si="20"/>
        <v>WW-22371</v>
      </c>
      <c r="C310" t="str">
        <f t="shared" si="21"/>
        <v>0</v>
      </c>
      <c r="D310">
        <f t="shared" si="22"/>
        <v>2</v>
      </c>
      <c r="E310">
        <f t="shared" si="23"/>
        <v>5</v>
      </c>
      <c r="F310" t="str">
        <f>_xlfn.LET(_xlpm.count, _xlfn.XLOOKUP(B310,'CL.SOL5--20251227'!I:I,'CL.SOL5--20251227'!L:L), IF(_xlpm.count=E310,"-", _xlpm.count))</f>
        <v>-</v>
      </c>
      <c r="G310" t="str">
        <f t="shared" si="24"/>
        <v>WW-22371-S1P4-Rev0-002</v>
      </c>
      <c r="H310" t="str">
        <f>_xlfn.LET(_xlpm.rev, _xlfn.XLOOKUP(B310,'CL.SOL5--20251227'!I:I,'CL.SOL5--20251227'!K:K), IF(_xlpm.rev=C310, "-", _xlpm.rev))</f>
        <v>-</v>
      </c>
      <c r="I310">
        <v>309</v>
      </c>
      <c r="J310" t="str">
        <f>_xlfn.XLOOKUP(B310,'CL.SOL5--20251227'!I:I,'CL.SOL5--20251227'!H:H)</f>
        <v>WW-22371-1.1/2"-S1P4</v>
      </c>
    </row>
    <row r="311" spans="1:10" hidden="1">
      <c r="A311" t="s">
        <v>688</v>
      </c>
      <c r="B311" t="str">
        <f t="shared" si="20"/>
        <v>WW-22371</v>
      </c>
      <c r="C311" t="str">
        <f t="shared" si="21"/>
        <v>0</v>
      </c>
      <c r="D311">
        <f t="shared" si="22"/>
        <v>3</v>
      </c>
      <c r="E311">
        <f t="shared" si="23"/>
        <v>5</v>
      </c>
      <c r="F311" t="str">
        <f>_xlfn.LET(_xlpm.count, _xlfn.XLOOKUP(B311,'CL.SOL5--20251227'!I:I,'CL.SOL5--20251227'!L:L), IF(_xlpm.count=E311,"-", _xlpm.count))</f>
        <v>-</v>
      </c>
      <c r="G311" t="str">
        <f t="shared" si="24"/>
        <v>WW-22371-S1P4-Rev0-003</v>
      </c>
      <c r="H311" t="str">
        <f>_xlfn.LET(_xlpm.rev, _xlfn.XLOOKUP(B311,'CL.SOL5--20251227'!I:I,'CL.SOL5--20251227'!K:K), IF(_xlpm.rev=C311, "-", _xlpm.rev))</f>
        <v>-</v>
      </c>
      <c r="I311">
        <v>310</v>
      </c>
      <c r="J311" t="str">
        <f>_xlfn.XLOOKUP(B311,'CL.SOL5--20251227'!I:I,'CL.SOL5--20251227'!H:H)</f>
        <v>WW-22371-1.1/2"-S1P4</v>
      </c>
    </row>
    <row r="312" spans="1:10" hidden="1">
      <c r="A312" t="s">
        <v>689</v>
      </c>
      <c r="B312" t="str">
        <f t="shared" si="20"/>
        <v>WW-22371</v>
      </c>
      <c r="C312" t="str">
        <f t="shared" si="21"/>
        <v>0</v>
      </c>
      <c r="D312">
        <f t="shared" si="22"/>
        <v>4</v>
      </c>
      <c r="E312">
        <f t="shared" si="23"/>
        <v>5</v>
      </c>
      <c r="F312" t="str">
        <f>_xlfn.LET(_xlpm.count, _xlfn.XLOOKUP(B312,'CL.SOL5--20251227'!I:I,'CL.SOL5--20251227'!L:L), IF(_xlpm.count=E312,"-", _xlpm.count))</f>
        <v>-</v>
      </c>
      <c r="G312" t="str">
        <f t="shared" si="24"/>
        <v>WW-22371-S1P4-Rev0-004</v>
      </c>
      <c r="H312" t="str">
        <f>_xlfn.LET(_xlpm.rev, _xlfn.XLOOKUP(B312,'CL.SOL5--20251227'!I:I,'CL.SOL5--20251227'!K:K), IF(_xlpm.rev=C312, "-", _xlpm.rev))</f>
        <v>-</v>
      </c>
      <c r="I312">
        <v>311</v>
      </c>
      <c r="J312" t="str">
        <f>_xlfn.XLOOKUP(B312,'CL.SOL5--20251227'!I:I,'CL.SOL5--20251227'!H:H)</f>
        <v>WW-22371-1.1/2"-S1P4</v>
      </c>
    </row>
    <row r="313" spans="1:10" hidden="1">
      <c r="A313" t="s">
        <v>690</v>
      </c>
      <c r="B313" t="str">
        <f t="shared" si="20"/>
        <v>WW-22371</v>
      </c>
      <c r="C313" t="str">
        <f t="shared" si="21"/>
        <v>0</v>
      </c>
      <c r="D313">
        <f t="shared" si="22"/>
        <v>5</v>
      </c>
      <c r="E313">
        <f t="shared" si="23"/>
        <v>5</v>
      </c>
      <c r="F313" t="str">
        <f>_xlfn.LET(_xlpm.count, _xlfn.XLOOKUP(B313,'CL.SOL5--20251227'!I:I,'CL.SOL5--20251227'!L:L), IF(_xlpm.count=E313,"-", _xlpm.count))</f>
        <v>-</v>
      </c>
      <c r="G313" t="str">
        <f t="shared" si="24"/>
        <v>WW-22371-S1P4-Rev0-005</v>
      </c>
      <c r="H313" t="str">
        <f>_xlfn.LET(_xlpm.rev, _xlfn.XLOOKUP(B313,'CL.SOL5--20251227'!I:I,'CL.SOL5--20251227'!K:K), IF(_xlpm.rev=C313, "-", _xlpm.rev))</f>
        <v>-</v>
      </c>
      <c r="I313">
        <v>312</v>
      </c>
      <c r="J313" t="str">
        <f>_xlfn.XLOOKUP(B313,'CL.SOL5--20251227'!I:I,'CL.SOL5--20251227'!H:H)</f>
        <v>WW-22371-1.1/2"-S1P4</v>
      </c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E6FD-1FBB-4531-A00D-F4D1A70A45D8}">
  <sheetPr>
    <pageSetUpPr fitToPage="1"/>
  </sheetPr>
  <dimension ref="A1:D316"/>
  <sheetViews>
    <sheetView tabSelected="1" workbookViewId="0">
      <selection sqref="A1:D1"/>
    </sheetView>
  </sheetViews>
  <sheetFormatPr defaultRowHeight="15"/>
  <cols>
    <col min="1" max="1" width="8.26953125" style="17" bestFit="1" customWidth="1"/>
    <col min="2" max="2" width="31.90625" style="17" bestFit="1" customWidth="1"/>
    <col min="3" max="3" width="29.90625" style="17" bestFit="1" customWidth="1"/>
    <col min="4" max="4" width="9.54296875" style="17" bestFit="1" customWidth="1"/>
    <col min="5" max="16384" width="8.7265625" style="17"/>
  </cols>
  <sheetData>
    <row r="1" spans="1:4" ht="18.3">
      <c r="A1" s="29" t="s">
        <v>1018</v>
      </c>
      <c r="B1" s="29"/>
      <c r="C1" s="29"/>
      <c r="D1" s="29"/>
    </row>
    <row r="3" spans="1:4" s="26" customFormat="1">
      <c r="A3" s="24" t="s">
        <v>699</v>
      </c>
      <c r="B3" s="24" t="s">
        <v>697</v>
      </c>
      <c r="C3" s="24" t="s">
        <v>700</v>
      </c>
      <c r="D3" s="25" t="s">
        <v>694</v>
      </c>
    </row>
    <row r="4" spans="1:4">
      <c r="A4" s="18">
        <v>1</v>
      </c>
      <c r="B4" s="19" t="s">
        <v>704</v>
      </c>
      <c r="C4" s="19" t="s">
        <v>8</v>
      </c>
      <c r="D4" s="20" t="s">
        <v>1016</v>
      </c>
    </row>
    <row r="5" spans="1:4">
      <c r="A5" s="18">
        <v>2</v>
      </c>
      <c r="B5" s="19" t="s">
        <v>705</v>
      </c>
      <c r="C5" s="19" t="s">
        <v>8</v>
      </c>
      <c r="D5" s="20" t="s">
        <v>1016</v>
      </c>
    </row>
    <row r="6" spans="1:4">
      <c r="A6" s="18">
        <v>3</v>
      </c>
      <c r="B6" s="19" t="s">
        <v>706</v>
      </c>
      <c r="C6" s="19" t="s">
        <v>8</v>
      </c>
      <c r="D6" s="20" t="s">
        <v>1016</v>
      </c>
    </row>
    <row r="7" spans="1:4">
      <c r="A7" s="18">
        <v>4</v>
      </c>
      <c r="B7" s="19" t="s">
        <v>707</v>
      </c>
      <c r="C7" s="19" t="s">
        <v>10</v>
      </c>
      <c r="D7" s="20" t="s">
        <v>1016</v>
      </c>
    </row>
    <row r="8" spans="1:4">
      <c r="A8" s="18">
        <v>5</v>
      </c>
      <c r="B8" s="19" t="s">
        <v>708</v>
      </c>
      <c r="C8" s="19" t="s">
        <v>10</v>
      </c>
      <c r="D8" s="20" t="s">
        <v>1016</v>
      </c>
    </row>
    <row r="9" spans="1:4">
      <c r="A9" s="18">
        <v>6</v>
      </c>
      <c r="B9" s="19" t="s">
        <v>709</v>
      </c>
      <c r="C9" s="19" t="s">
        <v>10</v>
      </c>
      <c r="D9" s="20" t="s">
        <v>1016</v>
      </c>
    </row>
    <row r="10" spans="1:4">
      <c r="A10" s="18">
        <v>7</v>
      </c>
      <c r="B10" s="19" t="s">
        <v>710</v>
      </c>
      <c r="C10" s="19" t="s">
        <v>12</v>
      </c>
      <c r="D10" s="20" t="s">
        <v>1016</v>
      </c>
    </row>
    <row r="11" spans="1:4">
      <c r="A11" s="18">
        <v>8</v>
      </c>
      <c r="B11" s="19" t="s">
        <v>711</v>
      </c>
      <c r="C11" s="19" t="s">
        <v>12</v>
      </c>
      <c r="D11" s="20" t="s">
        <v>1016</v>
      </c>
    </row>
    <row r="12" spans="1:4">
      <c r="A12" s="18">
        <v>9</v>
      </c>
      <c r="B12" s="19" t="s">
        <v>712</v>
      </c>
      <c r="C12" s="19" t="s">
        <v>14</v>
      </c>
      <c r="D12" s="20" t="s">
        <v>1016</v>
      </c>
    </row>
    <row r="13" spans="1:4">
      <c r="A13" s="18">
        <v>10</v>
      </c>
      <c r="B13" s="19" t="s">
        <v>713</v>
      </c>
      <c r="C13" s="19" t="s">
        <v>14</v>
      </c>
      <c r="D13" s="20" t="s">
        <v>1016</v>
      </c>
    </row>
    <row r="14" spans="1:4">
      <c r="A14" s="18">
        <v>11</v>
      </c>
      <c r="B14" s="19" t="s">
        <v>714</v>
      </c>
      <c r="C14" s="19" t="s">
        <v>14</v>
      </c>
      <c r="D14" s="20" t="s">
        <v>1016</v>
      </c>
    </row>
    <row r="15" spans="1:4">
      <c r="A15" s="18">
        <v>12</v>
      </c>
      <c r="B15" s="19" t="s">
        <v>715</v>
      </c>
      <c r="C15" s="19" t="s">
        <v>16</v>
      </c>
      <c r="D15" s="20" t="s">
        <v>1016</v>
      </c>
    </row>
    <row r="16" spans="1:4">
      <c r="A16" s="18">
        <v>13</v>
      </c>
      <c r="B16" s="19" t="s">
        <v>716</v>
      </c>
      <c r="C16" s="19" t="s">
        <v>16</v>
      </c>
      <c r="D16" s="20" t="s">
        <v>1016</v>
      </c>
    </row>
    <row r="17" spans="1:4">
      <c r="A17" s="18">
        <v>14</v>
      </c>
      <c r="B17" s="19" t="s">
        <v>717</v>
      </c>
      <c r="C17" s="19" t="s">
        <v>18</v>
      </c>
      <c r="D17" s="20" t="s">
        <v>1016</v>
      </c>
    </row>
    <row r="18" spans="1:4">
      <c r="A18" s="18">
        <v>15</v>
      </c>
      <c r="B18" s="19" t="s">
        <v>718</v>
      </c>
      <c r="C18" s="19" t="s">
        <v>18</v>
      </c>
      <c r="D18" s="20" t="s">
        <v>1016</v>
      </c>
    </row>
    <row r="19" spans="1:4">
      <c r="A19" s="18">
        <v>16</v>
      </c>
      <c r="B19" s="19" t="s">
        <v>719</v>
      </c>
      <c r="C19" s="19" t="s">
        <v>18</v>
      </c>
      <c r="D19" s="20" t="s">
        <v>1016</v>
      </c>
    </row>
    <row r="20" spans="1:4">
      <c r="A20" s="18">
        <v>17</v>
      </c>
      <c r="B20" s="19" t="s">
        <v>720</v>
      </c>
      <c r="C20" s="19" t="s">
        <v>20</v>
      </c>
      <c r="D20" s="20" t="s">
        <v>1016</v>
      </c>
    </row>
    <row r="21" spans="1:4">
      <c r="A21" s="18">
        <v>18</v>
      </c>
      <c r="B21" s="19" t="s">
        <v>721</v>
      </c>
      <c r="C21" s="19" t="s">
        <v>20</v>
      </c>
      <c r="D21" s="20" t="s">
        <v>1016</v>
      </c>
    </row>
    <row r="22" spans="1:4">
      <c r="A22" s="18">
        <v>19</v>
      </c>
      <c r="B22" s="19" t="s">
        <v>722</v>
      </c>
      <c r="C22" s="19" t="s">
        <v>20</v>
      </c>
      <c r="D22" s="20" t="s">
        <v>1016</v>
      </c>
    </row>
    <row r="23" spans="1:4">
      <c r="A23" s="18">
        <v>20</v>
      </c>
      <c r="B23" s="19" t="s">
        <v>723</v>
      </c>
      <c r="C23" s="19" t="s">
        <v>22</v>
      </c>
      <c r="D23" s="20" t="s">
        <v>1016</v>
      </c>
    </row>
    <row r="24" spans="1:4">
      <c r="A24" s="18">
        <v>21</v>
      </c>
      <c r="B24" s="19" t="s">
        <v>724</v>
      </c>
      <c r="C24" s="19" t="s">
        <v>22</v>
      </c>
      <c r="D24" s="20" t="s">
        <v>1016</v>
      </c>
    </row>
    <row r="25" spans="1:4">
      <c r="A25" s="18">
        <v>22</v>
      </c>
      <c r="B25" s="19" t="s">
        <v>725</v>
      </c>
      <c r="C25" s="19" t="s">
        <v>22</v>
      </c>
      <c r="D25" s="20" t="s">
        <v>1016</v>
      </c>
    </row>
    <row r="26" spans="1:4">
      <c r="A26" s="18">
        <v>23</v>
      </c>
      <c r="B26" s="19" t="s">
        <v>726</v>
      </c>
      <c r="C26" s="19" t="s">
        <v>24</v>
      </c>
      <c r="D26" s="20" t="s">
        <v>1016</v>
      </c>
    </row>
    <row r="27" spans="1:4">
      <c r="A27" s="18">
        <v>24</v>
      </c>
      <c r="B27" s="19" t="s">
        <v>727</v>
      </c>
      <c r="C27" s="19" t="s">
        <v>24</v>
      </c>
      <c r="D27" s="20" t="s">
        <v>1016</v>
      </c>
    </row>
    <row r="28" spans="1:4">
      <c r="A28" s="18">
        <v>25</v>
      </c>
      <c r="B28" s="19" t="s">
        <v>728</v>
      </c>
      <c r="C28" s="19" t="s">
        <v>26</v>
      </c>
      <c r="D28" s="20" t="s">
        <v>1016</v>
      </c>
    </row>
    <row r="29" spans="1:4">
      <c r="A29" s="18">
        <v>26</v>
      </c>
      <c r="B29" s="19" t="s">
        <v>729</v>
      </c>
      <c r="C29" s="19" t="s">
        <v>26</v>
      </c>
      <c r="D29" s="20" t="s">
        <v>1016</v>
      </c>
    </row>
    <row r="30" spans="1:4">
      <c r="A30" s="18">
        <v>27</v>
      </c>
      <c r="B30" s="19" t="s">
        <v>730</v>
      </c>
      <c r="C30" s="19" t="s">
        <v>26</v>
      </c>
      <c r="D30" s="20" t="s">
        <v>1016</v>
      </c>
    </row>
    <row r="31" spans="1:4">
      <c r="A31" s="18">
        <v>28</v>
      </c>
      <c r="B31" s="19" t="s">
        <v>731</v>
      </c>
      <c r="C31" s="19" t="s">
        <v>26</v>
      </c>
      <c r="D31" s="20" t="s">
        <v>1016</v>
      </c>
    </row>
    <row r="32" spans="1:4">
      <c r="A32" s="18">
        <v>29</v>
      </c>
      <c r="B32" s="19" t="s">
        <v>732</v>
      </c>
      <c r="C32" s="19" t="s">
        <v>28</v>
      </c>
      <c r="D32" s="20" t="s">
        <v>1016</v>
      </c>
    </row>
    <row r="33" spans="1:4">
      <c r="A33" s="18">
        <v>30</v>
      </c>
      <c r="B33" s="19" t="s">
        <v>733</v>
      </c>
      <c r="C33" s="19" t="s">
        <v>28</v>
      </c>
      <c r="D33" s="20" t="s">
        <v>1016</v>
      </c>
    </row>
    <row r="34" spans="1:4">
      <c r="A34" s="18">
        <v>31</v>
      </c>
      <c r="B34" s="19" t="s">
        <v>734</v>
      </c>
      <c r="C34" s="19" t="s">
        <v>30</v>
      </c>
      <c r="D34" s="20" t="s">
        <v>1016</v>
      </c>
    </row>
    <row r="35" spans="1:4">
      <c r="A35" s="18">
        <v>32</v>
      </c>
      <c r="B35" s="19" t="s">
        <v>735</v>
      </c>
      <c r="C35" s="19" t="s">
        <v>30</v>
      </c>
      <c r="D35" s="20" t="s">
        <v>1016</v>
      </c>
    </row>
    <row r="36" spans="1:4">
      <c r="A36" s="18">
        <v>33</v>
      </c>
      <c r="B36" s="19" t="s">
        <v>736</v>
      </c>
      <c r="C36" s="19" t="s">
        <v>30</v>
      </c>
      <c r="D36" s="20" t="s">
        <v>1016</v>
      </c>
    </row>
    <row r="37" spans="1:4">
      <c r="A37" s="18">
        <v>34</v>
      </c>
      <c r="B37" s="19" t="s">
        <v>737</v>
      </c>
      <c r="C37" s="19" t="s">
        <v>32</v>
      </c>
      <c r="D37" s="20" t="s">
        <v>1016</v>
      </c>
    </row>
    <row r="38" spans="1:4">
      <c r="A38" s="18">
        <v>35</v>
      </c>
      <c r="B38" s="19" t="s">
        <v>738</v>
      </c>
      <c r="C38" s="19" t="s">
        <v>32</v>
      </c>
      <c r="D38" s="20" t="s">
        <v>1016</v>
      </c>
    </row>
    <row r="39" spans="1:4">
      <c r="A39" s="18">
        <v>36</v>
      </c>
      <c r="B39" s="19" t="s">
        <v>739</v>
      </c>
      <c r="C39" s="19" t="s">
        <v>34</v>
      </c>
      <c r="D39" s="20" t="s">
        <v>1016</v>
      </c>
    </row>
    <row r="40" spans="1:4">
      <c r="A40" s="18">
        <v>37</v>
      </c>
      <c r="B40" s="19" t="s">
        <v>740</v>
      </c>
      <c r="C40" s="19" t="s">
        <v>34</v>
      </c>
      <c r="D40" s="20" t="s">
        <v>1016</v>
      </c>
    </row>
    <row r="41" spans="1:4">
      <c r="A41" s="18">
        <v>38</v>
      </c>
      <c r="B41" s="19" t="s">
        <v>741</v>
      </c>
      <c r="C41" s="19" t="s">
        <v>36</v>
      </c>
      <c r="D41" s="20" t="s">
        <v>1016</v>
      </c>
    </row>
    <row r="42" spans="1:4">
      <c r="A42" s="18">
        <v>39</v>
      </c>
      <c r="B42" s="19" t="s">
        <v>742</v>
      </c>
      <c r="C42" s="19" t="s">
        <v>36</v>
      </c>
      <c r="D42" s="20" t="s">
        <v>1016</v>
      </c>
    </row>
    <row r="43" spans="1:4">
      <c r="A43" s="18">
        <v>40</v>
      </c>
      <c r="B43" s="19" t="s">
        <v>743</v>
      </c>
      <c r="C43" s="19" t="s">
        <v>36</v>
      </c>
      <c r="D43" s="20" t="s">
        <v>1016</v>
      </c>
    </row>
    <row r="44" spans="1:4">
      <c r="A44" s="18">
        <v>41</v>
      </c>
      <c r="B44" s="19" t="s">
        <v>744</v>
      </c>
      <c r="C44" s="19" t="s">
        <v>36</v>
      </c>
      <c r="D44" s="20" t="s">
        <v>1016</v>
      </c>
    </row>
    <row r="45" spans="1:4">
      <c r="A45" s="18">
        <v>42</v>
      </c>
      <c r="B45" s="19" t="s">
        <v>745</v>
      </c>
      <c r="C45" s="19" t="s">
        <v>36</v>
      </c>
      <c r="D45" s="20" t="s">
        <v>1016</v>
      </c>
    </row>
    <row r="46" spans="1:4">
      <c r="A46" s="18">
        <v>43</v>
      </c>
      <c r="B46" s="19" t="s">
        <v>746</v>
      </c>
      <c r="C46" s="19" t="s">
        <v>38</v>
      </c>
      <c r="D46" s="20" t="s">
        <v>1016</v>
      </c>
    </row>
    <row r="47" spans="1:4">
      <c r="A47" s="18">
        <v>44</v>
      </c>
      <c r="B47" s="19" t="s">
        <v>747</v>
      </c>
      <c r="C47" s="19" t="s">
        <v>38</v>
      </c>
      <c r="D47" s="20" t="s">
        <v>1016</v>
      </c>
    </row>
    <row r="48" spans="1:4">
      <c r="A48" s="18">
        <v>45</v>
      </c>
      <c r="B48" s="19" t="s">
        <v>748</v>
      </c>
      <c r="C48" s="19" t="s">
        <v>38</v>
      </c>
      <c r="D48" s="20" t="s">
        <v>1016</v>
      </c>
    </row>
    <row r="49" spans="1:4">
      <c r="A49" s="18">
        <v>46</v>
      </c>
      <c r="B49" s="19" t="s">
        <v>749</v>
      </c>
      <c r="C49" s="19" t="s">
        <v>38</v>
      </c>
      <c r="D49" s="20" t="s">
        <v>1016</v>
      </c>
    </row>
    <row r="50" spans="1:4">
      <c r="A50" s="18">
        <v>47</v>
      </c>
      <c r="B50" s="19" t="s">
        <v>750</v>
      </c>
      <c r="C50" s="19" t="s">
        <v>38</v>
      </c>
      <c r="D50" s="20" t="s">
        <v>1016</v>
      </c>
    </row>
    <row r="51" spans="1:4">
      <c r="A51" s="18">
        <v>48</v>
      </c>
      <c r="B51" s="19" t="s">
        <v>751</v>
      </c>
      <c r="C51" s="19" t="s">
        <v>40</v>
      </c>
      <c r="D51" s="20" t="s">
        <v>1016</v>
      </c>
    </row>
    <row r="52" spans="1:4">
      <c r="A52" s="18">
        <v>49</v>
      </c>
      <c r="B52" s="19" t="s">
        <v>752</v>
      </c>
      <c r="C52" s="19" t="s">
        <v>42</v>
      </c>
      <c r="D52" s="20" t="s">
        <v>1016</v>
      </c>
    </row>
    <row r="53" spans="1:4">
      <c r="A53" s="18">
        <v>50</v>
      </c>
      <c r="B53" s="19" t="s">
        <v>753</v>
      </c>
      <c r="C53" s="19" t="s">
        <v>44</v>
      </c>
      <c r="D53" s="20" t="s">
        <v>1016</v>
      </c>
    </row>
    <row r="54" spans="1:4">
      <c r="A54" s="18">
        <v>51</v>
      </c>
      <c r="B54" s="19" t="s">
        <v>754</v>
      </c>
      <c r="C54" s="19" t="s">
        <v>46</v>
      </c>
      <c r="D54" s="20" t="s">
        <v>1016</v>
      </c>
    </row>
    <row r="55" spans="1:4">
      <c r="A55" s="18">
        <v>52</v>
      </c>
      <c r="B55" s="19" t="s">
        <v>755</v>
      </c>
      <c r="C55" s="19" t="s">
        <v>48</v>
      </c>
      <c r="D55" s="20" t="s">
        <v>1016</v>
      </c>
    </row>
    <row r="56" spans="1:4">
      <c r="A56" s="18">
        <v>53</v>
      </c>
      <c r="B56" s="19" t="s">
        <v>756</v>
      </c>
      <c r="C56" s="19" t="s">
        <v>50</v>
      </c>
      <c r="D56" s="20" t="s">
        <v>1016</v>
      </c>
    </row>
    <row r="57" spans="1:4">
      <c r="A57" s="18">
        <v>54</v>
      </c>
      <c r="B57" s="19" t="s">
        <v>757</v>
      </c>
      <c r="C57" s="19" t="s">
        <v>52</v>
      </c>
      <c r="D57" s="20" t="s">
        <v>1016</v>
      </c>
    </row>
    <row r="58" spans="1:4">
      <c r="A58" s="18">
        <v>55</v>
      </c>
      <c r="B58" s="19" t="s">
        <v>758</v>
      </c>
      <c r="C58" s="19" t="s">
        <v>54</v>
      </c>
      <c r="D58" s="20" t="s">
        <v>1016</v>
      </c>
    </row>
    <row r="59" spans="1:4">
      <c r="A59" s="18">
        <v>56</v>
      </c>
      <c r="B59" s="19" t="s">
        <v>759</v>
      </c>
      <c r="C59" s="19" t="s">
        <v>56</v>
      </c>
      <c r="D59" s="20" t="s">
        <v>1016</v>
      </c>
    </row>
    <row r="60" spans="1:4">
      <c r="A60" s="18">
        <v>57</v>
      </c>
      <c r="B60" s="19" t="s">
        <v>760</v>
      </c>
      <c r="C60" s="19" t="s">
        <v>56</v>
      </c>
      <c r="D60" s="20" t="s">
        <v>1016</v>
      </c>
    </row>
    <row r="61" spans="1:4">
      <c r="A61" s="18">
        <v>58</v>
      </c>
      <c r="B61" s="19" t="s">
        <v>761</v>
      </c>
      <c r="C61" s="19" t="s">
        <v>56</v>
      </c>
      <c r="D61" s="20" t="s">
        <v>1016</v>
      </c>
    </row>
    <row r="62" spans="1:4">
      <c r="A62" s="18">
        <v>59</v>
      </c>
      <c r="B62" s="19" t="s">
        <v>762</v>
      </c>
      <c r="C62" s="19" t="s">
        <v>58</v>
      </c>
      <c r="D62" s="20" t="s">
        <v>1016</v>
      </c>
    </row>
    <row r="63" spans="1:4">
      <c r="A63" s="18">
        <v>60</v>
      </c>
      <c r="B63" s="19" t="s">
        <v>763</v>
      </c>
      <c r="C63" s="19" t="s">
        <v>58</v>
      </c>
      <c r="D63" s="20" t="s">
        <v>1016</v>
      </c>
    </row>
    <row r="64" spans="1:4">
      <c r="A64" s="18">
        <v>61</v>
      </c>
      <c r="B64" s="19" t="s">
        <v>764</v>
      </c>
      <c r="C64" s="19" t="s">
        <v>58</v>
      </c>
      <c r="D64" s="20" t="s">
        <v>1016</v>
      </c>
    </row>
    <row r="65" spans="1:4">
      <c r="A65" s="18">
        <v>62</v>
      </c>
      <c r="B65" s="19" t="s">
        <v>765</v>
      </c>
      <c r="C65" s="19" t="s">
        <v>60</v>
      </c>
      <c r="D65" s="20" t="s">
        <v>1016</v>
      </c>
    </row>
    <row r="66" spans="1:4">
      <c r="A66" s="18">
        <v>63</v>
      </c>
      <c r="B66" s="19" t="s">
        <v>766</v>
      </c>
      <c r="C66" s="19" t="s">
        <v>60</v>
      </c>
      <c r="D66" s="20" t="s">
        <v>1016</v>
      </c>
    </row>
    <row r="67" spans="1:4">
      <c r="A67" s="18">
        <v>64</v>
      </c>
      <c r="B67" s="19" t="s">
        <v>767</v>
      </c>
      <c r="C67" s="19" t="s">
        <v>62</v>
      </c>
      <c r="D67" s="20" t="s">
        <v>1016</v>
      </c>
    </row>
    <row r="68" spans="1:4">
      <c r="A68" s="18">
        <v>65</v>
      </c>
      <c r="B68" s="19" t="s">
        <v>768</v>
      </c>
      <c r="C68" s="19" t="s">
        <v>62</v>
      </c>
      <c r="D68" s="20" t="s">
        <v>1016</v>
      </c>
    </row>
    <row r="69" spans="1:4">
      <c r="A69" s="18">
        <v>66</v>
      </c>
      <c r="B69" s="19" t="s">
        <v>769</v>
      </c>
      <c r="C69" s="19" t="s">
        <v>62</v>
      </c>
      <c r="D69" s="20" t="s">
        <v>1016</v>
      </c>
    </row>
    <row r="70" spans="1:4">
      <c r="A70" s="18">
        <v>67</v>
      </c>
      <c r="B70" s="19" t="s">
        <v>770</v>
      </c>
      <c r="C70" s="19" t="s">
        <v>64</v>
      </c>
      <c r="D70" s="20" t="s">
        <v>1016</v>
      </c>
    </row>
    <row r="71" spans="1:4">
      <c r="A71" s="18">
        <v>68</v>
      </c>
      <c r="B71" s="19" t="s">
        <v>771</v>
      </c>
      <c r="C71" s="19" t="s">
        <v>66</v>
      </c>
      <c r="D71" s="20" t="s">
        <v>1016</v>
      </c>
    </row>
    <row r="72" spans="1:4">
      <c r="A72" s="18">
        <v>69</v>
      </c>
      <c r="B72" s="19" t="s">
        <v>772</v>
      </c>
      <c r="C72" s="19" t="s">
        <v>68</v>
      </c>
      <c r="D72" s="20" t="s">
        <v>1016</v>
      </c>
    </row>
    <row r="73" spans="1:4">
      <c r="A73" s="18">
        <v>70</v>
      </c>
      <c r="B73" s="19" t="s">
        <v>773</v>
      </c>
      <c r="C73" s="19" t="s">
        <v>70</v>
      </c>
      <c r="D73" s="20" t="s">
        <v>1016</v>
      </c>
    </row>
    <row r="74" spans="1:4">
      <c r="A74" s="18">
        <v>71</v>
      </c>
      <c r="B74" s="19" t="s">
        <v>774</v>
      </c>
      <c r="C74" s="19" t="s">
        <v>72</v>
      </c>
      <c r="D74" s="20" t="s">
        <v>1016</v>
      </c>
    </row>
    <row r="75" spans="1:4">
      <c r="A75" s="18">
        <v>72</v>
      </c>
      <c r="B75" s="19" t="s">
        <v>775</v>
      </c>
      <c r="C75" s="19" t="s">
        <v>72</v>
      </c>
      <c r="D75" s="20" t="s">
        <v>1016</v>
      </c>
    </row>
    <row r="76" spans="1:4">
      <c r="A76" s="18">
        <v>73</v>
      </c>
      <c r="B76" s="19" t="s">
        <v>776</v>
      </c>
      <c r="C76" s="19" t="s">
        <v>74</v>
      </c>
      <c r="D76" s="20" t="s">
        <v>1016</v>
      </c>
    </row>
    <row r="77" spans="1:4">
      <c r="A77" s="18">
        <v>74</v>
      </c>
      <c r="B77" s="19" t="s">
        <v>777</v>
      </c>
      <c r="C77" s="19" t="s">
        <v>74</v>
      </c>
      <c r="D77" s="20" t="s">
        <v>1016</v>
      </c>
    </row>
    <row r="78" spans="1:4">
      <c r="A78" s="18">
        <v>75</v>
      </c>
      <c r="B78" s="19" t="s">
        <v>778</v>
      </c>
      <c r="C78" s="19" t="s">
        <v>76</v>
      </c>
      <c r="D78" s="20" t="s">
        <v>1016</v>
      </c>
    </row>
    <row r="79" spans="1:4">
      <c r="A79" s="18">
        <v>76</v>
      </c>
      <c r="B79" s="19" t="s">
        <v>779</v>
      </c>
      <c r="C79" s="19" t="s">
        <v>78</v>
      </c>
      <c r="D79" s="20" t="s">
        <v>1016</v>
      </c>
    </row>
    <row r="80" spans="1:4">
      <c r="A80" s="18">
        <v>77</v>
      </c>
      <c r="B80" s="19" t="s">
        <v>780</v>
      </c>
      <c r="C80" s="19" t="s">
        <v>80</v>
      </c>
      <c r="D80" s="20" t="s">
        <v>1016</v>
      </c>
    </row>
    <row r="81" spans="1:4">
      <c r="A81" s="18">
        <v>78</v>
      </c>
      <c r="B81" s="19" t="s">
        <v>781</v>
      </c>
      <c r="C81" s="19" t="s">
        <v>80</v>
      </c>
      <c r="D81" s="20" t="s">
        <v>1016</v>
      </c>
    </row>
    <row r="82" spans="1:4">
      <c r="A82" s="18">
        <v>79</v>
      </c>
      <c r="B82" s="19" t="s">
        <v>782</v>
      </c>
      <c r="C82" s="19" t="s">
        <v>82</v>
      </c>
      <c r="D82" s="20" t="s">
        <v>1016</v>
      </c>
    </row>
    <row r="83" spans="1:4">
      <c r="A83" s="18">
        <v>80</v>
      </c>
      <c r="B83" s="19" t="s">
        <v>783</v>
      </c>
      <c r="C83" s="19" t="s">
        <v>82</v>
      </c>
      <c r="D83" s="20" t="s">
        <v>1016</v>
      </c>
    </row>
    <row r="84" spans="1:4">
      <c r="A84" s="18">
        <v>81</v>
      </c>
      <c r="B84" s="19" t="s">
        <v>784</v>
      </c>
      <c r="C84" s="19" t="s">
        <v>84</v>
      </c>
      <c r="D84" s="20" t="s">
        <v>1016</v>
      </c>
    </row>
    <row r="85" spans="1:4">
      <c r="A85" s="18">
        <v>82</v>
      </c>
      <c r="B85" s="19" t="s">
        <v>785</v>
      </c>
      <c r="C85" s="19" t="s">
        <v>84</v>
      </c>
      <c r="D85" s="20" t="s">
        <v>1016</v>
      </c>
    </row>
    <row r="86" spans="1:4">
      <c r="A86" s="18">
        <v>83</v>
      </c>
      <c r="B86" s="19" t="s">
        <v>786</v>
      </c>
      <c r="C86" s="19" t="s">
        <v>84</v>
      </c>
      <c r="D86" s="20" t="s">
        <v>1016</v>
      </c>
    </row>
    <row r="87" spans="1:4">
      <c r="A87" s="18">
        <v>84</v>
      </c>
      <c r="B87" s="19" t="s">
        <v>787</v>
      </c>
      <c r="C87" s="19" t="s">
        <v>86</v>
      </c>
      <c r="D87" s="20" t="s">
        <v>1016</v>
      </c>
    </row>
    <row r="88" spans="1:4">
      <c r="A88" s="18">
        <v>85</v>
      </c>
      <c r="B88" s="19" t="s">
        <v>788</v>
      </c>
      <c r="C88" s="19" t="s">
        <v>88</v>
      </c>
      <c r="D88" s="20" t="s">
        <v>1016</v>
      </c>
    </row>
    <row r="89" spans="1:4">
      <c r="A89" s="18">
        <v>86</v>
      </c>
      <c r="B89" s="19" t="s">
        <v>789</v>
      </c>
      <c r="C89" s="19" t="s">
        <v>90</v>
      </c>
      <c r="D89" s="20" t="s">
        <v>1016</v>
      </c>
    </row>
    <row r="90" spans="1:4">
      <c r="A90" s="18">
        <v>87</v>
      </c>
      <c r="B90" s="19" t="s">
        <v>790</v>
      </c>
      <c r="C90" s="19" t="s">
        <v>92</v>
      </c>
      <c r="D90" s="20" t="s">
        <v>1016</v>
      </c>
    </row>
    <row r="91" spans="1:4">
      <c r="A91" s="18">
        <v>88</v>
      </c>
      <c r="B91" s="19" t="s">
        <v>791</v>
      </c>
      <c r="C91" s="19" t="s">
        <v>94</v>
      </c>
      <c r="D91" s="20" t="s">
        <v>1016</v>
      </c>
    </row>
    <row r="92" spans="1:4">
      <c r="A92" s="18">
        <v>89</v>
      </c>
      <c r="B92" s="19" t="s">
        <v>792</v>
      </c>
      <c r="C92" s="19" t="s">
        <v>96</v>
      </c>
      <c r="D92" s="20" t="s">
        <v>1016</v>
      </c>
    </row>
    <row r="93" spans="1:4">
      <c r="A93" s="18">
        <v>90</v>
      </c>
      <c r="B93" s="19" t="s">
        <v>793</v>
      </c>
      <c r="C93" s="19" t="s">
        <v>98</v>
      </c>
      <c r="D93" s="20" t="s">
        <v>1016</v>
      </c>
    </row>
    <row r="94" spans="1:4">
      <c r="A94" s="18">
        <v>91</v>
      </c>
      <c r="B94" s="19" t="s">
        <v>794</v>
      </c>
      <c r="C94" s="19" t="s">
        <v>100</v>
      </c>
      <c r="D94" s="20" t="s">
        <v>1016</v>
      </c>
    </row>
    <row r="95" spans="1:4">
      <c r="A95" s="18">
        <v>92</v>
      </c>
      <c r="B95" s="19" t="s">
        <v>795</v>
      </c>
      <c r="C95" s="19" t="s">
        <v>102</v>
      </c>
      <c r="D95" s="20" t="s">
        <v>1016</v>
      </c>
    </row>
    <row r="96" spans="1:4">
      <c r="A96" s="18">
        <v>93</v>
      </c>
      <c r="B96" s="19" t="s">
        <v>796</v>
      </c>
      <c r="C96" s="19" t="s">
        <v>102</v>
      </c>
      <c r="D96" s="20" t="s">
        <v>1016</v>
      </c>
    </row>
    <row r="97" spans="1:4">
      <c r="A97" s="18">
        <v>94</v>
      </c>
      <c r="B97" s="19" t="s">
        <v>797</v>
      </c>
      <c r="C97" s="19" t="s">
        <v>104</v>
      </c>
      <c r="D97" s="20" t="s">
        <v>1016</v>
      </c>
    </row>
    <row r="98" spans="1:4">
      <c r="A98" s="18">
        <v>95</v>
      </c>
      <c r="B98" s="19" t="s">
        <v>798</v>
      </c>
      <c r="C98" s="19" t="s">
        <v>106</v>
      </c>
      <c r="D98" s="20" t="s">
        <v>1017</v>
      </c>
    </row>
    <row r="99" spans="1:4">
      <c r="A99" s="18">
        <v>96</v>
      </c>
      <c r="B99" s="19" t="s">
        <v>799</v>
      </c>
      <c r="C99" s="19" t="s">
        <v>106</v>
      </c>
      <c r="D99" s="20" t="s">
        <v>1017</v>
      </c>
    </row>
    <row r="100" spans="1:4">
      <c r="A100" s="18">
        <v>97</v>
      </c>
      <c r="B100" s="19" t="s">
        <v>800</v>
      </c>
      <c r="C100" s="19" t="s">
        <v>108</v>
      </c>
      <c r="D100" s="20" t="s">
        <v>1017</v>
      </c>
    </row>
    <row r="101" spans="1:4">
      <c r="A101" s="18">
        <v>98</v>
      </c>
      <c r="B101" s="19" t="s">
        <v>801</v>
      </c>
      <c r="C101" s="19" t="s">
        <v>108</v>
      </c>
      <c r="D101" s="20" t="s">
        <v>1017</v>
      </c>
    </row>
    <row r="102" spans="1:4">
      <c r="A102" s="18">
        <v>99</v>
      </c>
      <c r="B102" s="19" t="s">
        <v>802</v>
      </c>
      <c r="C102" s="19" t="s">
        <v>110</v>
      </c>
      <c r="D102" s="20" t="s">
        <v>1016</v>
      </c>
    </row>
    <row r="103" spans="1:4">
      <c r="A103" s="18">
        <v>100</v>
      </c>
      <c r="B103" s="19" t="s">
        <v>803</v>
      </c>
      <c r="C103" s="19" t="s">
        <v>112</v>
      </c>
      <c r="D103" s="20" t="s">
        <v>1016</v>
      </c>
    </row>
    <row r="104" spans="1:4">
      <c r="A104" s="18">
        <v>101</v>
      </c>
      <c r="B104" s="19" t="s">
        <v>804</v>
      </c>
      <c r="C104" s="19" t="s">
        <v>112</v>
      </c>
      <c r="D104" s="20" t="s">
        <v>1016</v>
      </c>
    </row>
    <row r="105" spans="1:4">
      <c r="A105" s="18">
        <v>102</v>
      </c>
      <c r="B105" s="19" t="s">
        <v>805</v>
      </c>
      <c r="C105" s="19" t="s">
        <v>114</v>
      </c>
      <c r="D105" s="20" t="s">
        <v>1016</v>
      </c>
    </row>
    <row r="106" spans="1:4">
      <c r="A106" s="18">
        <v>103</v>
      </c>
      <c r="B106" s="19" t="s">
        <v>806</v>
      </c>
      <c r="C106" s="19" t="s">
        <v>114</v>
      </c>
      <c r="D106" s="20" t="s">
        <v>1016</v>
      </c>
    </row>
    <row r="107" spans="1:4">
      <c r="A107" s="18">
        <v>104</v>
      </c>
      <c r="B107" s="19" t="s">
        <v>807</v>
      </c>
      <c r="C107" s="19" t="s">
        <v>114</v>
      </c>
      <c r="D107" s="20" t="s">
        <v>1016</v>
      </c>
    </row>
    <row r="108" spans="1:4">
      <c r="A108" s="18">
        <v>105</v>
      </c>
      <c r="B108" s="19" t="s">
        <v>808</v>
      </c>
      <c r="C108" s="19" t="s">
        <v>114</v>
      </c>
      <c r="D108" s="20" t="s">
        <v>1016</v>
      </c>
    </row>
    <row r="109" spans="1:4">
      <c r="A109" s="18">
        <v>106</v>
      </c>
      <c r="B109" s="19" t="s">
        <v>809</v>
      </c>
      <c r="C109" s="19" t="s">
        <v>114</v>
      </c>
      <c r="D109" s="20" t="s">
        <v>1016</v>
      </c>
    </row>
    <row r="110" spans="1:4">
      <c r="A110" s="18">
        <v>107</v>
      </c>
      <c r="B110" s="19" t="s">
        <v>810</v>
      </c>
      <c r="C110" s="19" t="s">
        <v>114</v>
      </c>
      <c r="D110" s="20" t="s">
        <v>1016</v>
      </c>
    </row>
    <row r="111" spans="1:4">
      <c r="A111" s="18">
        <v>108</v>
      </c>
      <c r="B111" s="19" t="s">
        <v>811</v>
      </c>
      <c r="C111" s="19" t="s">
        <v>116</v>
      </c>
      <c r="D111" s="20" t="s">
        <v>1016</v>
      </c>
    </row>
    <row r="112" spans="1:4">
      <c r="A112" s="18">
        <v>109</v>
      </c>
      <c r="B112" s="19" t="s">
        <v>812</v>
      </c>
      <c r="C112" s="19" t="s">
        <v>116</v>
      </c>
      <c r="D112" s="20" t="s">
        <v>1016</v>
      </c>
    </row>
    <row r="113" spans="1:4">
      <c r="A113" s="18">
        <v>110</v>
      </c>
      <c r="B113" s="19" t="s">
        <v>813</v>
      </c>
      <c r="C113" s="19" t="s">
        <v>116</v>
      </c>
      <c r="D113" s="20" t="s">
        <v>1016</v>
      </c>
    </row>
    <row r="114" spans="1:4">
      <c r="A114" s="18">
        <v>111</v>
      </c>
      <c r="B114" s="19" t="s">
        <v>814</v>
      </c>
      <c r="C114" s="19" t="s">
        <v>116</v>
      </c>
      <c r="D114" s="20" t="s">
        <v>1016</v>
      </c>
    </row>
    <row r="115" spans="1:4">
      <c r="A115" s="18">
        <v>112</v>
      </c>
      <c r="B115" s="19" t="s">
        <v>815</v>
      </c>
      <c r="C115" s="19" t="s">
        <v>118</v>
      </c>
      <c r="D115" s="20" t="s">
        <v>1016</v>
      </c>
    </row>
    <row r="116" spans="1:4">
      <c r="A116" s="18">
        <v>113</v>
      </c>
      <c r="B116" s="19" t="s">
        <v>816</v>
      </c>
      <c r="C116" s="19" t="s">
        <v>118</v>
      </c>
      <c r="D116" s="20" t="s">
        <v>1016</v>
      </c>
    </row>
    <row r="117" spans="1:4">
      <c r="A117" s="18">
        <v>114</v>
      </c>
      <c r="B117" s="19" t="s">
        <v>817</v>
      </c>
      <c r="C117" s="19" t="s">
        <v>118</v>
      </c>
      <c r="D117" s="20" t="s">
        <v>1016</v>
      </c>
    </row>
    <row r="118" spans="1:4">
      <c r="A118" s="18">
        <v>115</v>
      </c>
      <c r="B118" s="19" t="s">
        <v>818</v>
      </c>
      <c r="C118" s="19" t="s">
        <v>118</v>
      </c>
      <c r="D118" s="20" t="s">
        <v>1016</v>
      </c>
    </row>
    <row r="119" spans="1:4">
      <c r="A119" s="18">
        <v>116</v>
      </c>
      <c r="B119" s="19" t="s">
        <v>819</v>
      </c>
      <c r="C119" s="19" t="s">
        <v>120</v>
      </c>
      <c r="D119" s="20" t="s">
        <v>1016</v>
      </c>
    </row>
    <row r="120" spans="1:4">
      <c r="A120" s="18">
        <v>117</v>
      </c>
      <c r="B120" s="19" t="s">
        <v>820</v>
      </c>
      <c r="C120" s="19" t="s">
        <v>120</v>
      </c>
      <c r="D120" s="20" t="s">
        <v>1016</v>
      </c>
    </row>
    <row r="121" spans="1:4">
      <c r="A121" s="18">
        <v>118</v>
      </c>
      <c r="B121" s="19" t="s">
        <v>821</v>
      </c>
      <c r="C121" s="19" t="s">
        <v>122</v>
      </c>
      <c r="D121" s="20" t="s">
        <v>1016</v>
      </c>
    </row>
    <row r="122" spans="1:4">
      <c r="A122" s="18">
        <v>119</v>
      </c>
      <c r="B122" s="19" t="s">
        <v>822</v>
      </c>
      <c r="C122" s="19" t="s">
        <v>122</v>
      </c>
      <c r="D122" s="20" t="s">
        <v>1016</v>
      </c>
    </row>
    <row r="123" spans="1:4">
      <c r="A123" s="18">
        <v>120</v>
      </c>
      <c r="B123" s="19" t="s">
        <v>823</v>
      </c>
      <c r="C123" s="19" t="s">
        <v>124</v>
      </c>
      <c r="D123" s="20" t="s">
        <v>1016</v>
      </c>
    </row>
    <row r="124" spans="1:4">
      <c r="A124" s="18">
        <v>121</v>
      </c>
      <c r="B124" s="19" t="s">
        <v>824</v>
      </c>
      <c r="C124" s="19" t="s">
        <v>124</v>
      </c>
      <c r="D124" s="20" t="s">
        <v>1016</v>
      </c>
    </row>
    <row r="125" spans="1:4">
      <c r="A125" s="18">
        <v>122</v>
      </c>
      <c r="B125" s="19" t="s">
        <v>825</v>
      </c>
      <c r="C125" s="19" t="s">
        <v>126</v>
      </c>
      <c r="D125" s="20" t="s">
        <v>1016</v>
      </c>
    </row>
    <row r="126" spans="1:4">
      <c r="A126" s="18">
        <v>123</v>
      </c>
      <c r="B126" s="19" t="s">
        <v>826</v>
      </c>
      <c r="C126" s="19" t="s">
        <v>126</v>
      </c>
      <c r="D126" s="20" t="s">
        <v>1016</v>
      </c>
    </row>
    <row r="127" spans="1:4">
      <c r="A127" s="18">
        <v>124</v>
      </c>
      <c r="B127" s="19" t="s">
        <v>827</v>
      </c>
      <c r="C127" s="19" t="s">
        <v>126</v>
      </c>
      <c r="D127" s="20" t="s">
        <v>1016</v>
      </c>
    </row>
    <row r="128" spans="1:4">
      <c r="A128" s="18">
        <v>125</v>
      </c>
      <c r="B128" s="19" t="s">
        <v>828</v>
      </c>
      <c r="C128" s="19" t="s">
        <v>128</v>
      </c>
      <c r="D128" s="20" t="s">
        <v>1016</v>
      </c>
    </row>
    <row r="129" spans="1:4">
      <c r="A129" s="18">
        <v>126</v>
      </c>
      <c r="B129" s="19" t="s">
        <v>829</v>
      </c>
      <c r="C129" s="19" t="s">
        <v>130</v>
      </c>
      <c r="D129" s="20" t="s">
        <v>1016</v>
      </c>
    </row>
    <row r="130" spans="1:4">
      <c r="A130" s="18">
        <v>127</v>
      </c>
      <c r="B130" s="19" t="s">
        <v>830</v>
      </c>
      <c r="C130" s="19" t="s">
        <v>132</v>
      </c>
      <c r="D130" s="20" t="s">
        <v>1016</v>
      </c>
    </row>
    <row r="131" spans="1:4">
      <c r="A131" s="18">
        <v>128</v>
      </c>
      <c r="B131" s="19" t="s">
        <v>831</v>
      </c>
      <c r="C131" s="19" t="s">
        <v>134</v>
      </c>
      <c r="D131" s="20" t="s">
        <v>1016</v>
      </c>
    </row>
    <row r="132" spans="1:4">
      <c r="A132" s="18">
        <v>129</v>
      </c>
      <c r="B132" s="19" t="s">
        <v>832</v>
      </c>
      <c r="C132" s="19" t="s">
        <v>136</v>
      </c>
      <c r="D132" s="20" t="s">
        <v>1016</v>
      </c>
    </row>
    <row r="133" spans="1:4">
      <c r="A133" s="18">
        <v>130</v>
      </c>
      <c r="B133" s="19" t="s">
        <v>833</v>
      </c>
      <c r="C133" s="19" t="s">
        <v>138</v>
      </c>
      <c r="D133" s="20" t="s">
        <v>1016</v>
      </c>
    </row>
    <row r="134" spans="1:4">
      <c r="A134" s="18">
        <v>131</v>
      </c>
      <c r="B134" s="19" t="s">
        <v>834</v>
      </c>
      <c r="C134" s="19" t="s">
        <v>140</v>
      </c>
      <c r="D134" s="20" t="s">
        <v>1016</v>
      </c>
    </row>
    <row r="135" spans="1:4">
      <c r="A135" s="18">
        <v>132</v>
      </c>
      <c r="B135" s="19" t="s">
        <v>835</v>
      </c>
      <c r="C135" s="19" t="s">
        <v>142</v>
      </c>
      <c r="D135" s="20" t="s">
        <v>1016</v>
      </c>
    </row>
    <row r="136" spans="1:4">
      <c r="A136" s="18">
        <v>133</v>
      </c>
      <c r="B136" s="19" t="s">
        <v>836</v>
      </c>
      <c r="C136" s="19" t="s">
        <v>142</v>
      </c>
      <c r="D136" s="20" t="s">
        <v>1016</v>
      </c>
    </row>
    <row r="137" spans="1:4">
      <c r="A137" s="18">
        <v>134</v>
      </c>
      <c r="B137" s="19" t="s">
        <v>837</v>
      </c>
      <c r="C137" s="19" t="s">
        <v>142</v>
      </c>
      <c r="D137" s="20" t="s">
        <v>1016</v>
      </c>
    </row>
    <row r="138" spans="1:4">
      <c r="A138" s="18">
        <v>135</v>
      </c>
      <c r="B138" s="19" t="s">
        <v>838</v>
      </c>
      <c r="C138" s="19" t="s">
        <v>142</v>
      </c>
      <c r="D138" s="20" t="s">
        <v>1016</v>
      </c>
    </row>
    <row r="139" spans="1:4">
      <c r="A139" s="18">
        <v>136</v>
      </c>
      <c r="B139" s="19" t="s">
        <v>839</v>
      </c>
      <c r="C139" s="19" t="s">
        <v>142</v>
      </c>
      <c r="D139" s="20" t="s">
        <v>1016</v>
      </c>
    </row>
    <row r="140" spans="1:4">
      <c r="A140" s="18">
        <v>137</v>
      </c>
      <c r="B140" s="19" t="s">
        <v>840</v>
      </c>
      <c r="C140" s="19" t="s">
        <v>142</v>
      </c>
      <c r="D140" s="20" t="s">
        <v>1016</v>
      </c>
    </row>
    <row r="141" spans="1:4">
      <c r="A141" s="18">
        <v>138</v>
      </c>
      <c r="B141" s="19" t="s">
        <v>841</v>
      </c>
      <c r="C141" s="19" t="s">
        <v>142</v>
      </c>
      <c r="D141" s="20" t="s">
        <v>1016</v>
      </c>
    </row>
    <row r="142" spans="1:4">
      <c r="A142" s="18">
        <v>139</v>
      </c>
      <c r="B142" s="19" t="s">
        <v>842</v>
      </c>
      <c r="C142" s="19" t="s">
        <v>144</v>
      </c>
      <c r="D142" s="20" t="s">
        <v>1016</v>
      </c>
    </row>
    <row r="143" spans="1:4">
      <c r="A143" s="18">
        <v>140</v>
      </c>
      <c r="B143" s="19" t="s">
        <v>843</v>
      </c>
      <c r="C143" s="19" t="s">
        <v>146</v>
      </c>
      <c r="D143" s="20" t="s">
        <v>1016</v>
      </c>
    </row>
    <row r="144" spans="1:4">
      <c r="A144" s="18">
        <v>141</v>
      </c>
      <c r="B144" s="19" t="s">
        <v>844</v>
      </c>
      <c r="C144" s="19" t="s">
        <v>148</v>
      </c>
      <c r="D144" s="20" t="s">
        <v>1016</v>
      </c>
    </row>
    <row r="145" spans="1:4">
      <c r="A145" s="18">
        <v>142</v>
      </c>
      <c r="B145" s="19" t="s">
        <v>845</v>
      </c>
      <c r="C145" s="19" t="s">
        <v>148</v>
      </c>
      <c r="D145" s="20" t="s">
        <v>1016</v>
      </c>
    </row>
    <row r="146" spans="1:4">
      <c r="A146" s="18">
        <v>143</v>
      </c>
      <c r="B146" s="19" t="s">
        <v>846</v>
      </c>
      <c r="C146" s="19" t="s">
        <v>150</v>
      </c>
      <c r="D146" s="20" t="s">
        <v>1016</v>
      </c>
    </row>
    <row r="147" spans="1:4">
      <c r="A147" s="18">
        <v>144</v>
      </c>
      <c r="B147" s="19" t="s">
        <v>847</v>
      </c>
      <c r="C147" s="19" t="s">
        <v>152</v>
      </c>
      <c r="D147" s="20" t="s">
        <v>1016</v>
      </c>
    </row>
    <row r="148" spans="1:4">
      <c r="A148" s="18">
        <v>145</v>
      </c>
      <c r="B148" s="19" t="s">
        <v>848</v>
      </c>
      <c r="C148" s="19" t="s">
        <v>154</v>
      </c>
      <c r="D148" s="20" t="s">
        <v>1016</v>
      </c>
    </row>
    <row r="149" spans="1:4">
      <c r="A149" s="18">
        <v>146</v>
      </c>
      <c r="B149" s="19" t="s">
        <v>849</v>
      </c>
      <c r="C149" s="19" t="s">
        <v>154</v>
      </c>
      <c r="D149" s="20" t="s">
        <v>1016</v>
      </c>
    </row>
    <row r="150" spans="1:4">
      <c r="A150" s="18">
        <v>147</v>
      </c>
      <c r="B150" s="19" t="s">
        <v>850</v>
      </c>
      <c r="C150" s="19" t="s">
        <v>154</v>
      </c>
      <c r="D150" s="20" t="s">
        <v>1016</v>
      </c>
    </row>
    <row r="151" spans="1:4">
      <c r="A151" s="18">
        <v>148</v>
      </c>
      <c r="B151" s="19" t="s">
        <v>851</v>
      </c>
      <c r="C151" s="19" t="s">
        <v>154</v>
      </c>
      <c r="D151" s="20" t="s">
        <v>1016</v>
      </c>
    </row>
    <row r="152" spans="1:4">
      <c r="A152" s="18">
        <v>149</v>
      </c>
      <c r="B152" s="19" t="s">
        <v>852</v>
      </c>
      <c r="C152" s="19" t="s">
        <v>154</v>
      </c>
      <c r="D152" s="20" t="s">
        <v>1016</v>
      </c>
    </row>
    <row r="153" spans="1:4">
      <c r="A153" s="18">
        <v>150</v>
      </c>
      <c r="B153" s="19" t="s">
        <v>853</v>
      </c>
      <c r="C153" s="19" t="s">
        <v>156</v>
      </c>
      <c r="D153" s="20" t="s">
        <v>1016</v>
      </c>
    </row>
    <row r="154" spans="1:4">
      <c r="A154" s="18">
        <v>151</v>
      </c>
      <c r="B154" s="19" t="s">
        <v>854</v>
      </c>
      <c r="C154" s="19" t="s">
        <v>156</v>
      </c>
      <c r="D154" s="20" t="s">
        <v>1016</v>
      </c>
    </row>
    <row r="155" spans="1:4">
      <c r="A155" s="18">
        <v>152</v>
      </c>
      <c r="B155" s="19" t="s">
        <v>855</v>
      </c>
      <c r="C155" s="19" t="s">
        <v>158</v>
      </c>
      <c r="D155" s="20" t="s">
        <v>1016</v>
      </c>
    </row>
    <row r="156" spans="1:4">
      <c r="A156" s="18">
        <v>153</v>
      </c>
      <c r="B156" s="19" t="s">
        <v>856</v>
      </c>
      <c r="C156" s="19" t="s">
        <v>160</v>
      </c>
      <c r="D156" s="20" t="s">
        <v>1016</v>
      </c>
    </row>
    <row r="157" spans="1:4">
      <c r="A157" s="18">
        <v>154</v>
      </c>
      <c r="B157" s="19" t="s">
        <v>857</v>
      </c>
      <c r="C157" s="19" t="s">
        <v>162</v>
      </c>
      <c r="D157" s="20" t="s">
        <v>1016</v>
      </c>
    </row>
    <row r="158" spans="1:4">
      <c r="A158" s="18">
        <v>155</v>
      </c>
      <c r="B158" s="19" t="s">
        <v>858</v>
      </c>
      <c r="C158" s="19" t="s">
        <v>162</v>
      </c>
      <c r="D158" s="20" t="s">
        <v>1016</v>
      </c>
    </row>
    <row r="159" spans="1:4">
      <c r="A159" s="18">
        <v>156</v>
      </c>
      <c r="B159" s="19" t="s">
        <v>859</v>
      </c>
      <c r="C159" s="19" t="s">
        <v>164</v>
      </c>
      <c r="D159" s="20" t="s">
        <v>1016</v>
      </c>
    </row>
    <row r="160" spans="1:4">
      <c r="A160" s="18">
        <v>157</v>
      </c>
      <c r="B160" s="19" t="s">
        <v>860</v>
      </c>
      <c r="C160" s="19" t="s">
        <v>164</v>
      </c>
      <c r="D160" s="20" t="s">
        <v>1016</v>
      </c>
    </row>
    <row r="161" spans="1:4">
      <c r="A161" s="18">
        <v>158</v>
      </c>
      <c r="B161" s="19" t="s">
        <v>861</v>
      </c>
      <c r="C161" s="19" t="s">
        <v>166</v>
      </c>
      <c r="D161" s="20" t="s">
        <v>1016</v>
      </c>
    </row>
    <row r="162" spans="1:4">
      <c r="A162" s="18">
        <v>159</v>
      </c>
      <c r="B162" s="19" t="s">
        <v>862</v>
      </c>
      <c r="C162" s="19" t="s">
        <v>166</v>
      </c>
      <c r="D162" s="20" t="s">
        <v>1016</v>
      </c>
    </row>
    <row r="163" spans="1:4">
      <c r="A163" s="18">
        <v>160</v>
      </c>
      <c r="B163" s="19" t="s">
        <v>863</v>
      </c>
      <c r="C163" s="19" t="s">
        <v>166</v>
      </c>
      <c r="D163" s="20" t="s">
        <v>1016</v>
      </c>
    </row>
    <row r="164" spans="1:4">
      <c r="A164" s="18">
        <v>161</v>
      </c>
      <c r="B164" s="19" t="s">
        <v>864</v>
      </c>
      <c r="C164" s="19" t="s">
        <v>168</v>
      </c>
      <c r="D164" s="20" t="s">
        <v>1017</v>
      </c>
    </row>
    <row r="165" spans="1:4">
      <c r="A165" s="18">
        <v>162</v>
      </c>
      <c r="B165" s="19" t="s">
        <v>865</v>
      </c>
      <c r="C165" s="19" t="s">
        <v>168</v>
      </c>
      <c r="D165" s="20" t="s">
        <v>1017</v>
      </c>
    </row>
    <row r="166" spans="1:4">
      <c r="A166" s="18">
        <v>163</v>
      </c>
      <c r="B166" s="19" t="s">
        <v>866</v>
      </c>
      <c r="C166" s="19" t="s">
        <v>170</v>
      </c>
      <c r="D166" s="20" t="s">
        <v>1016</v>
      </c>
    </row>
    <row r="167" spans="1:4">
      <c r="A167" s="18">
        <v>164</v>
      </c>
      <c r="B167" s="19" t="s">
        <v>867</v>
      </c>
      <c r="C167" s="19" t="s">
        <v>170</v>
      </c>
      <c r="D167" s="20" t="s">
        <v>1016</v>
      </c>
    </row>
    <row r="168" spans="1:4">
      <c r="A168" s="18">
        <v>165</v>
      </c>
      <c r="B168" s="19" t="s">
        <v>868</v>
      </c>
      <c r="C168" s="19" t="s">
        <v>172</v>
      </c>
      <c r="D168" s="20" t="s">
        <v>1016</v>
      </c>
    </row>
    <row r="169" spans="1:4">
      <c r="A169" s="18">
        <v>166</v>
      </c>
      <c r="B169" s="19" t="s">
        <v>869</v>
      </c>
      <c r="C169" s="19" t="s">
        <v>172</v>
      </c>
      <c r="D169" s="20" t="s">
        <v>1016</v>
      </c>
    </row>
    <row r="170" spans="1:4">
      <c r="A170" s="18">
        <v>167</v>
      </c>
      <c r="B170" s="19" t="s">
        <v>870</v>
      </c>
      <c r="C170" s="19" t="s">
        <v>172</v>
      </c>
      <c r="D170" s="20" t="s">
        <v>1016</v>
      </c>
    </row>
    <row r="171" spans="1:4">
      <c r="A171" s="18">
        <v>168</v>
      </c>
      <c r="B171" s="19" t="s">
        <v>871</v>
      </c>
      <c r="C171" s="19" t="s">
        <v>172</v>
      </c>
      <c r="D171" s="20" t="s">
        <v>1016</v>
      </c>
    </row>
    <row r="172" spans="1:4">
      <c r="A172" s="18">
        <v>169</v>
      </c>
      <c r="B172" s="19" t="s">
        <v>872</v>
      </c>
      <c r="C172" s="19" t="s">
        <v>174</v>
      </c>
      <c r="D172" s="20" t="s">
        <v>1016</v>
      </c>
    </row>
    <row r="173" spans="1:4">
      <c r="A173" s="18">
        <v>170</v>
      </c>
      <c r="B173" s="19" t="s">
        <v>873</v>
      </c>
      <c r="C173" s="19" t="s">
        <v>176</v>
      </c>
      <c r="D173" s="20" t="s">
        <v>1016</v>
      </c>
    </row>
    <row r="174" spans="1:4">
      <c r="A174" s="18">
        <v>171</v>
      </c>
      <c r="B174" s="19" t="s">
        <v>874</v>
      </c>
      <c r="C174" s="19" t="s">
        <v>176</v>
      </c>
      <c r="D174" s="20" t="s">
        <v>1016</v>
      </c>
    </row>
    <row r="175" spans="1:4">
      <c r="A175" s="18">
        <v>172</v>
      </c>
      <c r="B175" s="19" t="s">
        <v>875</v>
      </c>
      <c r="C175" s="19" t="s">
        <v>176</v>
      </c>
      <c r="D175" s="20" t="s">
        <v>1016</v>
      </c>
    </row>
    <row r="176" spans="1:4">
      <c r="A176" s="18">
        <v>173</v>
      </c>
      <c r="B176" s="19" t="s">
        <v>876</v>
      </c>
      <c r="C176" s="19" t="s">
        <v>178</v>
      </c>
      <c r="D176" s="20" t="s">
        <v>1016</v>
      </c>
    </row>
    <row r="177" spans="1:4">
      <c r="A177" s="18">
        <v>174</v>
      </c>
      <c r="B177" s="19" t="s">
        <v>877</v>
      </c>
      <c r="C177" s="19" t="s">
        <v>178</v>
      </c>
      <c r="D177" s="20" t="s">
        <v>1016</v>
      </c>
    </row>
    <row r="178" spans="1:4">
      <c r="A178" s="18">
        <v>175</v>
      </c>
      <c r="B178" s="19" t="s">
        <v>878</v>
      </c>
      <c r="C178" s="19" t="s">
        <v>180</v>
      </c>
      <c r="D178" s="20" t="s">
        <v>1016</v>
      </c>
    </row>
    <row r="179" spans="1:4">
      <c r="A179" s="18">
        <v>176</v>
      </c>
      <c r="B179" s="19" t="s">
        <v>879</v>
      </c>
      <c r="C179" s="19" t="s">
        <v>182</v>
      </c>
      <c r="D179" s="20" t="s">
        <v>1016</v>
      </c>
    </row>
    <row r="180" spans="1:4">
      <c r="A180" s="18">
        <v>177</v>
      </c>
      <c r="B180" s="19" t="s">
        <v>880</v>
      </c>
      <c r="C180" s="19" t="s">
        <v>184</v>
      </c>
      <c r="D180" s="20" t="s">
        <v>1016</v>
      </c>
    </row>
    <row r="181" spans="1:4">
      <c r="A181" s="18">
        <v>178</v>
      </c>
      <c r="B181" s="19" t="s">
        <v>881</v>
      </c>
      <c r="C181" s="19" t="s">
        <v>184</v>
      </c>
      <c r="D181" s="20" t="s">
        <v>1016</v>
      </c>
    </row>
    <row r="182" spans="1:4">
      <c r="A182" s="18">
        <v>179</v>
      </c>
      <c r="B182" s="19" t="s">
        <v>882</v>
      </c>
      <c r="C182" s="19" t="s">
        <v>184</v>
      </c>
      <c r="D182" s="20" t="s">
        <v>1016</v>
      </c>
    </row>
    <row r="183" spans="1:4">
      <c r="A183" s="18">
        <v>180</v>
      </c>
      <c r="B183" s="19" t="s">
        <v>883</v>
      </c>
      <c r="C183" s="19" t="s">
        <v>184</v>
      </c>
      <c r="D183" s="20" t="s">
        <v>1016</v>
      </c>
    </row>
    <row r="184" spans="1:4">
      <c r="A184" s="18">
        <v>181</v>
      </c>
      <c r="B184" s="19" t="s">
        <v>884</v>
      </c>
      <c r="C184" s="19" t="s">
        <v>186</v>
      </c>
      <c r="D184" s="20" t="s">
        <v>1016</v>
      </c>
    </row>
    <row r="185" spans="1:4">
      <c r="A185" s="18">
        <v>182</v>
      </c>
      <c r="B185" s="19" t="s">
        <v>885</v>
      </c>
      <c r="C185" s="19" t="s">
        <v>186</v>
      </c>
      <c r="D185" s="20" t="s">
        <v>1016</v>
      </c>
    </row>
    <row r="186" spans="1:4">
      <c r="A186" s="18">
        <v>183</v>
      </c>
      <c r="B186" s="19" t="s">
        <v>886</v>
      </c>
      <c r="C186" s="19" t="s">
        <v>186</v>
      </c>
      <c r="D186" s="20" t="s">
        <v>1016</v>
      </c>
    </row>
    <row r="187" spans="1:4">
      <c r="A187" s="18">
        <v>184</v>
      </c>
      <c r="B187" s="19" t="s">
        <v>887</v>
      </c>
      <c r="C187" s="19" t="s">
        <v>186</v>
      </c>
      <c r="D187" s="20" t="s">
        <v>1016</v>
      </c>
    </row>
    <row r="188" spans="1:4">
      <c r="A188" s="18">
        <v>185</v>
      </c>
      <c r="B188" s="19" t="s">
        <v>888</v>
      </c>
      <c r="C188" s="19" t="s">
        <v>188</v>
      </c>
      <c r="D188" s="20" t="s">
        <v>1016</v>
      </c>
    </row>
    <row r="189" spans="1:4">
      <c r="A189" s="18">
        <v>186</v>
      </c>
      <c r="B189" s="19" t="s">
        <v>889</v>
      </c>
      <c r="C189" s="19" t="s">
        <v>190</v>
      </c>
      <c r="D189" s="20" t="s">
        <v>1016</v>
      </c>
    </row>
    <row r="190" spans="1:4">
      <c r="A190" s="18">
        <v>187</v>
      </c>
      <c r="B190" s="19" t="s">
        <v>890</v>
      </c>
      <c r="C190" s="19" t="s">
        <v>192</v>
      </c>
      <c r="D190" s="20" t="s">
        <v>1016</v>
      </c>
    </row>
    <row r="191" spans="1:4">
      <c r="A191" s="18">
        <v>188</v>
      </c>
      <c r="B191" s="19" t="s">
        <v>891</v>
      </c>
      <c r="C191" s="19" t="s">
        <v>192</v>
      </c>
      <c r="D191" s="20" t="s">
        <v>1016</v>
      </c>
    </row>
    <row r="192" spans="1:4">
      <c r="A192" s="18">
        <v>189</v>
      </c>
      <c r="B192" s="19" t="s">
        <v>892</v>
      </c>
      <c r="C192" s="19" t="s">
        <v>192</v>
      </c>
      <c r="D192" s="20" t="s">
        <v>1016</v>
      </c>
    </row>
    <row r="193" spans="1:4">
      <c r="A193" s="18">
        <v>190</v>
      </c>
      <c r="B193" s="19" t="s">
        <v>893</v>
      </c>
      <c r="C193" s="19" t="s">
        <v>192</v>
      </c>
      <c r="D193" s="20" t="s">
        <v>1016</v>
      </c>
    </row>
    <row r="194" spans="1:4">
      <c r="A194" s="18">
        <v>191</v>
      </c>
      <c r="B194" s="19" t="s">
        <v>894</v>
      </c>
      <c r="C194" s="19" t="s">
        <v>192</v>
      </c>
      <c r="D194" s="20" t="s">
        <v>1016</v>
      </c>
    </row>
    <row r="195" spans="1:4">
      <c r="A195" s="18">
        <v>192</v>
      </c>
      <c r="B195" s="19" t="s">
        <v>895</v>
      </c>
      <c r="C195" s="19" t="s">
        <v>194</v>
      </c>
      <c r="D195" s="20" t="s">
        <v>1016</v>
      </c>
    </row>
    <row r="196" spans="1:4">
      <c r="A196" s="18">
        <v>193</v>
      </c>
      <c r="B196" s="19" t="s">
        <v>896</v>
      </c>
      <c r="C196" s="19" t="s">
        <v>196</v>
      </c>
      <c r="D196" s="20" t="s">
        <v>1016</v>
      </c>
    </row>
    <row r="197" spans="1:4">
      <c r="A197" s="18">
        <v>194</v>
      </c>
      <c r="B197" s="19" t="s">
        <v>897</v>
      </c>
      <c r="C197" s="19" t="s">
        <v>196</v>
      </c>
      <c r="D197" s="20" t="s">
        <v>1016</v>
      </c>
    </row>
    <row r="198" spans="1:4">
      <c r="A198" s="18">
        <v>195</v>
      </c>
      <c r="B198" s="19" t="s">
        <v>898</v>
      </c>
      <c r="C198" s="19" t="s">
        <v>198</v>
      </c>
      <c r="D198" s="20" t="s">
        <v>1016</v>
      </c>
    </row>
    <row r="199" spans="1:4">
      <c r="A199" s="18">
        <v>196</v>
      </c>
      <c r="B199" s="19" t="s">
        <v>899</v>
      </c>
      <c r="C199" s="19" t="s">
        <v>200</v>
      </c>
      <c r="D199" s="20" t="s">
        <v>1016</v>
      </c>
    </row>
    <row r="200" spans="1:4">
      <c r="A200" s="18">
        <v>197</v>
      </c>
      <c r="B200" s="19" t="s">
        <v>900</v>
      </c>
      <c r="C200" s="19" t="s">
        <v>202</v>
      </c>
      <c r="D200" s="20" t="s">
        <v>1016</v>
      </c>
    </row>
    <row r="201" spans="1:4">
      <c r="A201" s="18">
        <v>198</v>
      </c>
      <c r="B201" s="19" t="s">
        <v>901</v>
      </c>
      <c r="C201" s="19" t="s">
        <v>204</v>
      </c>
      <c r="D201" s="20" t="s">
        <v>1016</v>
      </c>
    </row>
    <row r="202" spans="1:4">
      <c r="A202" s="18">
        <v>199</v>
      </c>
      <c r="B202" s="19" t="s">
        <v>902</v>
      </c>
      <c r="C202" s="19" t="s">
        <v>204</v>
      </c>
      <c r="D202" s="20" t="s">
        <v>1016</v>
      </c>
    </row>
    <row r="203" spans="1:4">
      <c r="A203" s="18">
        <v>200</v>
      </c>
      <c r="B203" s="19" t="s">
        <v>903</v>
      </c>
      <c r="C203" s="19" t="s">
        <v>206</v>
      </c>
      <c r="D203" s="20" t="s">
        <v>1016</v>
      </c>
    </row>
    <row r="204" spans="1:4">
      <c r="A204" s="18">
        <v>201</v>
      </c>
      <c r="B204" s="19" t="s">
        <v>904</v>
      </c>
      <c r="C204" s="19" t="s">
        <v>208</v>
      </c>
      <c r="D204" s="20" t="s">
        <v>1016</v>
      </c>
    </row>
    <row r="205" spans="1:4">
      <c r="A205" s="18">
        <v>202</v>
      </c>
      <c r="B205" s="19" t="s">
        <v>905</v>
      </c>
      <c r="C205" s="19" t="s">
        <v>210</v>
      </c>
      <c r="D205" s="20" t="s">
        <v>1016</v>
      </c>
    </row>
    <row r="206" spans="1:4">
      <c r="A206" s="18">
        <v>203</v>
      </c>
      <c r="B206" s="19" t="s">
        <v>906</v>
      </c>
      <c r="C206" s="19" t="s">
        <v>210</v>
      </c>
      <c r="D206" s="20" t="s">
        <v>1016</v>
      </c>
    </row>
    <row r="207" spans="1:4">
      <c r="A207" s="18">
        <v>204</v>
      </c>
      <c r="B207" s="19" t="s">
        <v>907</v>
      </c>
      <c r="C207" s="19" t="s">
        <v>210</v>
      </c>
      <c r="D207" s="20" t="s">
        <v>1016</v>
      </c>
    </row>
    <row r="208" spans="1:4">
      <c r="A208" s="18">
        <v>205</v>
      </c>
      <c r="B208" s="19" t="s">
        <v>908</v>
      </c>
      <c r="C208" s="19" t="s">
        <v>210</v>
      </c>
      <c r="D208" s="20" t="s">
        <v>1016</v>
      </c>
    </row>
    <row r="209" spans="1:4">
      <c r="A209" s="18">
        <v>206</v>
      </c>
      <c r="B209" s="19" t="s">
        <v>909</v>
      </c>
      <c r="C209" s="19" t="s">
        <v>212</v>
      </c>
      <c r="D209" s="20" t="s">
        <v>1016</v>
      </c>
    </row>
    <row r="210" spans="1:4">
      <c r="A210" s="18">
        <v>207</v>
      </c>
      <c r="B210" s="19" t="s">
        <v>910</v>
      </c>
      <c r="C210" s="19" t="s">
        <v>212</v>
      </c>
      <c r="D210" s="20" t="s">
        <v>1016</v>
      </c>
    </row>
    <row r="211" spans="1:4">
      <c r="A211" s="18">
        <v>208</v>
      </c>
      <c r="B211" s="19" t="s">
        <v>911</v>
      </c>
      <c r="C211" s="19" t="s">
        <v>214</v>
      </c>
      <c r="D211" s="20" t="s">
        <v>1016</v>
      </c>
    </row>
    <row r="212" spans="1:4">
      <c r="A212" s="18">
        <v>209</v>
      </c>
      <c r="B212" s="19" t="s">
        <v>912</v>
      </c>
      <c r="C212" s="19" t="s">
        <v>216</v>
      </c>
      <c r="D212" s="20" t="s">
        <v>1016</v>
      </c>
    </row>
    <row r="213" spans="1:4">
      <c r="A213" s="18">
        <v>210</v>
      </c>
      <c r="B213" s="19" t="s">
        <v>913</v>
      </c>
      <c r="C213" s="19" t="s">
        <v>218</v>
      </c>
      <c r="D213" s="20" t="s">
        <v>1016</v>
      </c>
    </row>
    <row r="214" spans="1:4">
      <c r="A214" s="18">
        <v>211</v>
      </c>
      <c r="B214" s="19" t="s">
        <v>914</v>
      </c>
      <c r="C214" s="19" t="s">
        <v>218</v>
      </c>
      <c r="D214" s="20" t="s">
        <v>1016</v>
      </c>
    </row>
    <row r="215" spans="1:4">
      <c r="A215" s="18">
        <v>212</v>
      </c>
      <c r="B215" s="19" t="s">
        <v>915</v>
      </c>
      <c r="C215" s="19" t="s">
        <v>218</v>
      </c>
      <c r="D215" s="20" t="s">
        <v>1016</v>
      </c>
    </row>
    <row r="216" spans="1:4">
      <c r="A216" s="18">
        <v>213</v>
      </c>
      <c r="B216" s="19" t="s">
        <v>916</v>
      </c>
      <c r="C216" s="19" t="s">
        <v>218</v>
      </c>
      <c r="D216" s="20" t="s">
        <v>1016</v>
      </c>
    </row>
    <row r="217" spans="1:4">
      <c r="A217" s="18">
        <v>214</v>
      </c>
      <c r="B217" s="19" t="s">
        <v>917</v>
      </c>
      <c r="C217" s="19" t="s">
        <v>218</v>
      </c>
      <c r="D217" s="20" t="s">
        <v>1016</v>
      </c>
    </row>
    <row r="218" spans="1:4">
      <c r="A218" s="18">
        <v>215</v>
      </c>
      <c r="B218" s="19" t="s">
        <v>918</v>
      </c>
      <c r="C218" s="19" t="s">
        <v>218</v>
      </c>
      <c r="D218" s="20" t="s">
        <v>1016</v>
      </c>
    </row>
    <row r="219" spans="1:4">
      <c r="A219" s="18">
        <v>216</v>
      </c>
      <c r="B219" s="19" t="s">
        <v>919</v>
      </c>
      <c r="C219" s="19" t="s">
        <v>218</v>
      </c>
      <c r="D219" s="20" t="s">
        <v>1016</v>
      </c>
    </row>
    <row r="220" spans="1:4">
      <c r="A220" s="18">
        <v>217</v>
      </c>
      <c r="B220" s="19" t="s">
        <v>920</v>
      </c>
      <c r="C220" s="19" t="s">
        <v>220</v>
      </c>
      <c r="D220" s="20" t="s">
        <v>1016</v>
      </c>
    </row>
    <row r="221" spans="1:4">
      <c r="A221" s="18">
        <v>218</v>
      </c>
      <c r="B221" s="19" t="s">
        <v>921</v>
      </c>
      <c r="C221" s="19" t="s">
        <v>222</v>
      </c>
      <c r="D221" s="20" t="s">
        <v>1016</v>
      </c>
    </row>
    <row r="222" spans="1:4">
      <c r="A222" s="18">
        <v>219</v>
      </c>
      <c r="B222" s="19" t="s">
        <v>922</v>
      </c>
      <c r="C222" s="19" t="s">
        <v>222</v>
      </c>
      <c r="D222" s="20" t="s">
        <v>1016</v>
      </c>
    </row>
    <row r="223" spans="1:4">
      <c r="A223" s="18">
        <v>220</v>
      </c>
      <c r="B223" s="19" t="s">
        <v>923</v>
      </c>
      <c r="C223" s="19" t="s">
        <v>222</v>
      </c>
      <c r="D223" s="20" t="s">
        <v>1016</v>
      </c>
    </row>
    <row r="224" spans="1:4">
      <c r="A224" s="18">
        <v>221</v>
      </c>
      <c r="B224" s="19" t="s">
        <v>924</v>
      </c>
      <c r="C224" s="19" t="s">
        <v>222</v>
      </c>
      <c r="D224" s="20" t="s">
        <v>1016</v>
      </c>
    </row>
    <row r="225" spans="1:4">
      <c r="A225" s="18">
        <v>222</v>
      </c>
      <c r="B225" s="19" t="s">
        <v>925</v>
      </c>
      <c r="C225" s="19" t="s">
        <v>224</v>
      </c>
      <c r="D225" s="20" t="s">
        <v>1016</v>
      </c>
    </row>
    <row r="226" spans="1:4">
      <c r="A226" s="18">
        <v>223</v>
      </c>
      <c r="B226" s="19" t="s">
        <v>926</v>
      </c>
      <c r="C226" s="19" t="s">
        <v>224</v>
      </c>
      <c r="D226" s="20" t="s">
        <v>1016</v>
      </c>
    </row>
    <row r="227" spans="1:4">
      <c r="A227" s="18">
        <v>224</v>
      </c>
      <c r="B227" s="19" t="s">
        <v>927</v>
      </c>
      <c r="C227" s="19" t="s">
        <v>226</v>
      </c>
      <c r="D227" s="20" t="s">
        <v>1016</v>
      </c>
    </row>
    <row r="228" spans="1:4">
      <c r="A228" s="18">
        <v>225</v>
      </c>
      <c r="B228" s="19" t="s">
        <v>928</v>
      </c>
      <c r="C228" s="19" t="s">
        <v>226</v>
      </c>
      <c r="D228" s="20" t="s">
        <v>1016</v>
      </c>
    </row>
    <row r="229" spans="1:4">
      <c r="A229" s="18">
        <v>226</v>
      </c>
      <c r="B229" s="19" t="s">
        <v>929</v>
      </c>
      <c r="C229" s="19" t="s">
        <v>228</v>
      </c>
      <c r="D229" s="20" t="s">
        <v>1016</v>
      </c>
    </row>
    <row r="230" spans="1:4">
      <c r="A230" s="18">
        <v>227</v>
      </c>
      <c r="B230" s="19" t="s">
        <v>930</v>
      </c>
      <c r="C230" s="19" t="s">
        <v>230</v>
      </c>
      <c r="D230" s="20" t="s">
        <v>1016</v>
      </c>
    </row>
    <row r="231" spans="1:4">
      <c r="A231" s="18">
        <v>228</v>
      </c>
      <c r="B231" s="19" t="s">
        <v>931</v>
      </c>
      <c r="C231" s="19" t="s">
        <v>232</v>
      </c>
      <c r="D231" s="20" t="s">
        <v>1016</v>
      </c>
    </row>
    <row r="232" spans="1:4">
      <c r="A232" s="18">
        <v>229</v>
      </c>
      <c r="B232" s="19" t="s">
        <v>932</v>
      </c>
      <c r="C232" s="19" t="s">
        <v>232</v>
      </c>
      <c r="D232" s="20" t="s">
        <v>1016</v>
      </c>
    </row>
    <row r="233" spans="1:4">
      <c r="A233" s="18">
        <v>230</v>
      </c>
      <c r="B233" s="19" t="s">
        <v>933</v>
      </c>
      <c r="C233" s="19" t="s">
        <v>234</v>
      </c>
      <c r="D233" s="20" t="s">
        <v>1016</v>
      </c>
    </row>
    <row r="234" spans="1:4">
      <c r="A234" s="18">
        <v>231</v>
      </c>
      <c r="B234" s="19" t="s">
        <v>934</v>
      </c>
      <c r="C234" s="19" t="s">
        <v>236</v>
      </c>
      <c r="D234" s="20" t="s">
        <v>1016</v>
      </c>
    </row>
    <row r="235" spans="1:4">
      <c r="A235" s="18">
        <v>232</v>
      </c>
      <c r="B235" s="19" t="s">
        <v>935</v>
      </c>
      <c r="C235" s="19" t="s">
        <v>238</v>
      </c>
      <c r="D235" s="20" t="s">
        <v>1016</v>
      </c>
    </row>
    <row r="236" spans="1:4">
      <c r="A236" s="18">
        <v>233</v>
      </c>
      <c r="B236" s="19" t="s">
        <v>936</v>
      </c>
      <c r="C236" s="19" t="s">
        <v>240</v>
      </c>
      <c r="D236" s="20" t="s">
        <v>1016</v>
      </c>
    </row>
    <row r="237" spans="1:4">
      <c r="A237" s="18">
        <v>234</v>
      </c>
      <c r="B237" s="19" t="s">
        <v>937</v>
      </c>
      <c r="C237" s="19" t="s">
        <v>242</v>
      </c>
      <c r="D237" s="20" t="s">
        <v>1016</v>
      </c>
    </row>
    <row r="238" spans="1:4">
      <c r="A238" s="18">
        <v>235</v>
      </c>
      <c r="B238" s="19" t="s">
        <v>938</v>
      </c>
      <c r="C238" s="19" t="s">
        <v>244</v>
      </c>
      <c r="D238" s="20" t="s">
        <v>1016</v>
      </c>
    </row>
    <row r="239" spans="1:4">
      <c r="A239" s="18">
        <v>236</v>
      </c>
      <c r="B239" s="19" t="s">
        <v>939</v>
      </c>
      <c r="C239" s="19" t="s">
        <v>246</v>
      </c>
      <c r="D239" s="20" t="s">
        <v>1016</v>
      </c>
    </row>
    <row r="240" spans="1:4">
      <c r="A240" s="18">
        <v>237</v>
      </c>
      <c r="B240" s="19" t="s">
        <v>940</v>
      </c>
      <c r="C240" s="19" t="s">
        <v>248</v>
      </c>
      <c r="D240" s="20" t="s">
        <v>1016</v>
      </c>
    </row>
    <row r="241" spans="1:4">
      <c r="A241" s="18">
        <v>238</v>
      </c>
      <c r="B241" s="19" t="s">
        <v>941</v>
      </c>
      <c r="C241" s="19" t="s">
        <v>250</v>
      </c>
      <c r="D241" s="20" t="s">
        <v>1016</v>
      </c>
    </row>
    <row r="242" spans="1:4">
      <c r="A242" s="18">
        <v>239</v>
      </c>
      <c r="B242" s="19" t="s">
        <v>942</v>
      </c>
      <c r="C242" s="19" t="s">
        <v>250</v>
      </c>
      <c r="D242" s="20" t="s">
        <v>1016</v>
      </c>
    </row>
    <row r="243" spans="1:4">
      <c r="A243" s="18">
        <v>240</v>
      </c>
      <c r="B243" s="19" t="s">
        <v>943</v>
      </c>
      <c r="C243" s="19" t="s">
        <v>250</v>
      </c>
      <c r="D243" s="20" t="s">
        <v>1016</v>
      </c>
    </row>
    <row r="244" spans="1:4">
      <c r="A244" s="18">
        <v>241</v>
      </c>
      <c r="B244" s="19" t="s">
        <v>944</v>
      </c>
      <c r="C244" s="19" t="s">
        <v>252</v>
      </c>
      <c r="D244" s="20" t="s">
        <v>1016</v>
      </c>
    </row>
    <row r="245" spans="1:4">
      <c r="A245" s="18">
        <v>242</v>
      </c>
      <c r="B245" s="19" t="s">
        <v>945</v>
      </c>
      <c r="C245" s="19" t="s">
        <v>254</v>
      </c>
      <c r="D245" s="20" t="s">
        <v>1016</v>
      </c>
    </row>
    <row r="246" spans="1:4">
      <c r="A246" s="18">
        <v>243</v>
      </c>
      <c r="B246" s="19" t="s">
        <v>946</v>
      </c>
      <c r="C246" s="19" t="s">
        <v>256</v>
      </c>
      <c r="D246" s="20" t="s">
        <v>1016</v>
      </c>
    </row>
    <row r="247" spans="1:4">
      <c r="A247" s="18">
        <v>244</v>
      </c>
      <c r="B247" s="19" t="s">
        <v>947</v>
      </c>
      <c r="C247" s="19" t="s">
        <v>258</v>
      </c>
      <c r="D247" s="20" t="s">
        <v>1016</v>
      </c>
    </row>
    <row r="248" spans="1:4">
      <c r="A248" s="18">
        <v>245</v>
      </c>
      <c r="B248" s="19" t="s">
        <v>948</v>
      </c>
      <c r="C248" s="19" t="s">
        <v>260</v>
      </c>
      <c r="D248" s="20" t="s">
        <v>1016</v>
      </c>
    </row>
    <row r="249" spans="1:4">
      <c r="A249" s="18">
        <v>246</v>
      </c>
      <c r="B249" s="19" t="s">
        <v>949</v>
      </c>
      <c r="C249" s="19" t="s">
        <v>262</v>
      </c>
      <c r="D249" s="20" t="s">
        <v>1016</v>
      </c>
    </row>
    <row r="250" spans="1:4">
      <c r="A250" s="18">
        <v>247</v>
      </c>
      <c r="B250" s="19" t="s">
        <v>950</v>
      </c>
      <c r="C250" s="19" t="s">
        <v>264</v>
      </c>
      <c r="D250" s="20" t="s">
        <v>1016</v>
      </c>
    </row>
    <row r="251" spans="1:4">
      <c r="A251" s="18">
        <v>248</v>
      </c>
      <c r="B251" s="19" t="s">
        <v>951</v>
      </c>
      <c r="C251" s="19" t="s">
        <v>266</v>
      </c>
      <c r="D251" s="20" t="s">
        <v>1016</v>
      </c>
    </row>
    <row r="252" spans="1:4">
      <c r="A252" s="18">
        <v>249</v>
      </c>
      <c r="B252" s="19" t="s">
        <v>952</v>
      </c>
      <c r="C252" s="19" t="s">
        <v>266</v>
      </c>
      <c r="D252" s="20" t="s">
        <v>1016</v>
      </c>
    </row>
    <row r="253" spans="1:4">
      <c r="A253" s="18">
        <v>250</v>
      </c>
      <c r="B253" s="19" t="s">
        <v>953</v>
      </c>
      <c r="C253" s="19" t="s">
        <v>268</v>
      </c>
      <c r="D253" s="20" t="s">
        <v>1016</v>
      </c>
    </row>
    <row r="254" spans="1:4">
      <c r="A254" s="18">
        <v>251</v>
      </c>
      <c r="B254" s="19" t="s">
        <v>954</v>
      </c>
      <c r="C254" s="19" t="s">
        <v>270</v>
      </c>
      <c r="D254" s="20" t="s">
        <v>1016</v>
      </c>
    </row>
    <row r="255" spans="1:4">
      <c r="A255" s="18">
        <v>252</v>
      </c>
      <c r="B255" s="19" t="s">
        <v>955</v>
      </c>
      <c r="C255" s="19" t="s">
        <v>270</v>
      </c>
      <c r="D255" s="20" t="s">
        <v>1016</v>
      </c>
    </row>
    <row r="256" spans="1:4">
      <c r="A256" s="18">
        <v>253</v>
      </c>
      <c r="B256" s="19" t="s">
        <v>956</v>
      </c>
      <c r="C256" s="19" t="s">
        <v>272</v>
      </c>
      <c r="D256" s="20" t="s">
        <v>1016</v>
      </c>
    </row>
    <row r="257" spans="1:4">
      <c r="A257" s="18">
        <v>254</v>
      </c>
      <c r="B257" s="19" t="s">
        <v>957</v>
      </c>
      <c r="C257" s="19" t="s">
        <v>274</v>
      </c>
      <c r="D257" s="20" t="s">
        <v>1016</v>
      </c>
    </row>
    <row r="258" spans="1:4">
      <c r="A258" s="18">
        <v>255</v>
      </c>
      <c r="B258" s="19" t="s">
        <v>958</v>
      </c>
      <c r="C258" s="19" t="s">
        <v>274</v>
      </c>
      <c r="D258" s="20" t="s">
        <v>1016</v>
      </c>
    </row>
    <row r="259" spans="1:4">
      <c r="A259" s="18">
        <v>256</v>
      </c>
      <c r="B259" s="19" t="s">
        <v>959</v>
      </c>
      <c r="C259" s="19" t="s">
        <v>276</v>
      </c>
      <c r="D259" s="20" t="s">
        <v>1016</v>
      </c>
    </row>
    <row r="260" spans="1:4">
      <c r="A260" s="18">
        <v>257</v>
      </c>
      <c r="B260" s="19" t="s">
        <v>960</v>
      </c>
      <c r="C260" s="19" t="s">
        <v>278</v>
      </c>
      <c r="D260" s="20" t="s">
        <v>1016</v>
      </c>
    </row>
    <row r="261" spans="1:4">
      <c r="A261" s="18">
        <v>258</v>
      </c>
      <c r="B261" s="19" t="s">
        <v>961</v>
      </c>
      <c r="C261" s="19" t="s">
        <v>280</v>
      </c>
      <c r="D261" s="20" t="s">
        <v>1016</v>
      </c>
    </row>
    <row r="262" spans="1:4">
      <c r="A262" s="18">
        <v>259</v>
      </c>
      <c r="B262" s="19" t="s">
        <v>962</v>
      </c>
      <c r="C262" s="19" t="s">
        <v>282</v>
      </c>
      <c r="D262" s="20" t="s">
        <v>1016</v>
      </c>
    </row>
    <row r="263" spans="1:4">
      <c r="A263" s="18">
        <v>260</v>
      </c>
      <c r="B263" s="19" t="s">
        <v>963</v>
      </c>
      <c r="C263" s="19" t="s">
        <v>284</v>
      </c>
      <c r="D263" s="20" t="s">
        <v>1016</v>
      </c>
    </row>
    <row r="264" spans="1:4">
      <c r="A264" s="18">
        <v>261</v>
      </c>
      <c r="B264" s="19" t="s">
        <v>964</v>
      </c>
      <c r="C264" s="19" t="s">
        <v>286</v>
      </c>
      <c r="D264" s="20" t="s">
        <v>1016</v>
      </c>
    </row>
    <row r="265" spans="1:4">
      <c r="A265" s="18">
        <v>262</v>
      </c>
      <c r="B265" s="19" t="s">
        <v>965</v>
      </c>
      <c r="C265" s="19" t="s">
        <v>294</v>
      </c>
      <c r="D265" s="20" t="s">
        <v>1016</v>
      </c>
    </row>
    <row r="266" spans="1:4">
      <c r="A266" s="18">
        <v>263</v>
      </c>
      <c r="B266" s="19" t="s">
        <v>966</v>
      </c>
      <c r="C266" s="19" t="s">
        <v>288</v>
      </c>
      <c r="D266" s="20" t="s">
        <v>1016</v>
      </c>
    </row>
    <row r="267" spans="1:4">
      <c r="A267" s="18">
        <v>264</v>
      </c>
      <c r="B267" s="19" t="s">
        <v>967</v>
      </c>
      <c r="C267" s="19" t="s">
        <v>290</v>
      </c>
      <c r="D267" s="20" t="s">
        <v>1016</v>
      </c>
    </row>
    <row r="268" spans="1:4">
      <c r="A268" s="18">
        <v>265</v>
      </c>
      <c r="B268" s="19" t="s">
        <v>968</v>
      </c>
      <c r="C268" s="19" t="s">
        <v>292</v>
      </c>
      <c r="D268" s="20" t="s">
        <v>1016</v>
      </c>
    </row>
    <row r="269" spans="1:4">
      <c r="A269" s="18">
        <v>266</v>
      </c>
      <c r="B269" s="19" t="s">
        <v>969</v>
      </c>
      <c r="C269" s="19" t="s">
        <v>292</v>
      </c>
      <c r="D269" s="20" t="s">
        <v>1016</v>
      </c>
    </row>
    <row r="270" spans="1:4">
      <c r="A270" s="18">
        <v>267</v>
      </c>
      <c r="B270" s="19" t="s">
        <v>970</v>
      </c>
      <c r="C270" s="19" t="s">
        <v>296</v>
      </c>
      <c r="D270" s="20" t="s">
        <v>1016</v>
      </c>
    </row>
    <row r="271" spans="1:4">
      <c r="A271" s="18">
        <v>268</v>
      </c>
      <c r="B271" s="19" t="s">
        <v>971</v>
      </c>
      <c r="C271" s="19" t="s">
        <v>298</v>
      </c>
      <c r="D271" s="20" t="s">
        <v>1016</v>
      </c>
    </row>
    <row r="272" spans="1:4">
      <c r="A272" s="18">
        <v>269</v>
      </c>
      <c r="B272" s="19" t="s">
        <v>972</v>
      </c>
      <c r="C272" s="19" t="s">
        <v>300</v>
      </c>
      <c r="D272" s="20" t="s">
        <v>1016</v>
      </c>
    </row>
    <row r="273" spans="1:4">
      <c r="A273" s="18">
        <v>270</v>
      </c>
      <c r="B273" s="19" t="s">
        <v>973</v>
      </c>
      <c r="C273" s="19" t="s">
        <v>302</v>
      </c>
      <c r="D273" s="20" t="s">
        <v>1016</v>
      </c>
    </row>
    <row r="274" spans="1:4">
      <c r="A274" s="18">
        <v>271</v>
      </c>
      <c r="B274" s="19" t="s">
        <v>974</v>
      </c>
      <c r="C274" s="19" t="s">
        <v>304</v>
      </c>
      <c r="D274" s="20" t="s">
        <v>1016</v>
      </c>
    </row>
    <row r="275" spans="1:4">
      <c r="A275" s="18">
        <v>272</v>
      </c>
      <c r="B275" s="19" t="s">
        <v>975</v>
      </c>
      <c r="C275" s="19" t="s">
        <v>306</v>
      </c>
      <c r="D275" s="20" t="s">
        <v>1016</v>
      </c>
    </row>
    <row r="276" spans="1:4">
      <c r="A276" s="18">
        <v>273</v>
      </c>
      <c r="B276" s="19" t="s">
        <v>976</v>
      </c>
      <c r="C276" s="19" t="s">
        <v>308</v>
      </c>
      <c r="D276" s="20" t="s">
        <v>1016</v>
      </c>
    </row>
    <row r="277" spans="1:4">
      <c r="A277" s="18">
        <v>274</v>
      </c>
      <c r="B277" s="19" t="s">
        <v>977</v>
      </c>
      <c r="C277" s="19" t="s">
        <v>310</v>
      </c>
      <c r="D277" s="20" t="s">
        <v>1016</v>
      </c>
    </row>
    <row r="278" spans="1:4">
      <c r="A278" s="18">
        <v>275</v>
      </c>
      <c r="B278" s="19" t="s">
        <v>978</v>
      </c>
      <c r="C278" s="19" t="s">
        <v>312</v>
      </c>
      <c r="D278" s="20" t="s">
        <v>1016</v>
      </c>
    </row>
    <row r="279" spans="1:4">
      <c r="A279" s="18">
        <v>276</v>
      </c>
      <c r="B279" s="19" t="s">
        <v>979</v>
      </c>
      <c r="C279" s="19" t="s">
        <v>314</v>
      </c>
      <c r="D279" s="20" t="s">
        <v>1016</v>
      </c>
    </row>
    <row r="280" spans="1:4">
      <c r="A280" s="18">
        <v>277</v>
      </c>
      <c r="B280" s="19" t="s">
        <v>980</v>
      </c>
      <c r="C280" s="19" t="s">
        <v>316</v>
      </c>
      <c r="D280" s="20" t="s">
        <v>1016</v>
      </c>
    </row>
    <row r="281" spans="1:4">
      <c r="A281" s="18">
        <v>278</v>
      </c>
      <c r="B281" s="19" t="s">
        <v>981</v>
      </c>
      <c r="C281" s="19" t="s">
        <v>318</v>
      </c>
      <c r="D281" s="20" t="s">
        <v>1016</v>
      </c>
    </row>
    <row r="282" spans="1:4">
      <c r="A282" s="18">
        <v>279</v>
      </c>
      <c r="B282" s="19" t="s">
        <v>982</v>
      </c>
      <c r="C282" s="19" t="s">
        <v>320</v>
      </c>
      <c r="D282" s="20" t="s">
        <v>1016</v>
      </c>
    </row>
    <row r="283" spans="1:4">
      <c r="A283" s="18">
        <v>280</v>
      </c>
      <c r="B283" s="19" t="s">
        <v>983</v>
      </c>
      <c r="C283" s="19" t="s">
        <v>322</v>
      </c>
      <c r="D283" s="20" t="s">
        <v>1016</v>
      </c>
    </row>
    <row r="284" spans="1:4">
      <c r="A284" s="18">
        <v>281</v>
      </c>
      <c r="B284" s="19" t="s">
        <v>984</v>
      </c>
      <c r="C284" s="19" t="s">
        <v>324</v>
      </c>
      <c r="D284" s="20" t="s">
        <v>1016</v>
      </c>
    </row>
    <row r="285" spans="1:4">
      <c r="A285" s="18">
        <v>282</v>
      </c>
      <c r="B285" s="19" t="s">
        <v>985</v>
      </c>
      <c r="C285" s="19" t="s">
        <v>326</v>
      </c>
      <c r="D285" s="20" t="s">
        <v>1016</v>
      </c>
    </row>
    <row r="286" spans="1:4">
      <c r="A286" s="18">
        <v>283</v>
      </c>
      <c r="B286" s="19" t="s">
        <v>986</v>
      </c>
      <c r="C286" s="19" t="s">
        <v>328</v>
      </c>
      <c r="D286" s="20" t="s">
        <v>1016</v>
      </c>
    </row>
    <row r="287" spans="1:4">
      <c r="A287" s="18">
        <v>284</v>
      </c>
      <c r="B287" s="19" t="s">
        <v>987</v>
      </c>
      <c r="C287" s="19" t="s">
        <v>330</v>
      </c>
      <c r="D287" s="20" t="s">
        <v>1016</v>
      </c>
    </row>
    <row r="288" spans="1:4">
      <c r="A288" s="18">
        <v>285</v>
      </c>
      <c r="B288" s="19" t="s">
        <v>988</v>
      </c>
      <c r="C288" s="19" t="s">
        <v>332</v>
      </c>
      <c r="D288" s="20" t="s">
        <v>1016</v>
      </c>
    </row>
    <row r="289" spans="1:4">
      <c r="A289" s="18">
        <v>286</v>
      </c>
      <c r="B289" s="19" t="s">
        <v>989</v>
      </c>
      <c r="C289" s="19" t="s">
        <v>334</v>
      </c>
      <c r="D289" s="20" t="s">
        <v>1016</v>
      </c>
    </row>
    <row r="290" spans="1:4">
      <c r="A290" s="18">
        <v>287</v>
      </c>
      <c r="B290" s="19" t="s">
        <v>990</v>
      </c>
      <c r="C290" s="19" t="s">
        <v>336</v>
      </c>
      <c r="D290" s="20" t="s">
        <v>1016</v>
      </c>
    </row>
    <row r="291" spans="1:4">
      <c r="A291" s="18">
        <v>288</v>
      </c>
      <c r="B291" s="19" t="s">
        <v>991</v>
      </c>
      <c r="C291" s="19" t="s">
        <v>338</v>
      </c>
      <c r="D291" s="20" t="s">
        <v>1016</v>
      </c>
    </row>
    <row r="292" spans="1:4">
      <c r="A292" s="18">
        <v>289</v>
      </c>
      <c r="B292" s="19" t="s">
        <v>992</v>
      </c>
      <c r="C292" s="19" t="s">
        <v>340</v>
      </c>
      <c r="D292" s="20" t="s">
        <v>1016</v>
      </c>
    </row>
    <row r="293" spans="1:4">
      <c r="A293" s="18">
        <v>290</v>
      </c>
      <c r="B293" s="19" t="s">
        <v>993</v>
      </c>
      <c r="C293" s="19" t="s">
        <v>342</v>
      </c>
      <c r="D293" s="20" t="s">
        <v>1016</v>
      </c>
    </row>
    <row r="294" spans="1:4">
      <c r="A294" s="18">
        <v>291</v>
      </c>
      <c r="B294" s="19" t="s">
        <v>994</v>
      </c>
      <c r="C294" s="19" t="s">
        <v>344</v>
      </c>
      <c r="D294" s="20" t="s">
        <v>1016</v>
      </c>
    </row>
    <row r="295" spans="1:4">
      <c r="A295" s="18">
        <v>292</v>
      </c>
      <c r="B295" s="19" t="s">
        <v>995</v>
      </c>
      <c r="C295" s="19" t="s">
        <v>346</v>
      </c>
      <c r="D295" s="20" t="s">
        <v>1016</v>
      </c>
    </row>
    <row r="296" spans="1:4">
      <c r="A296" s="18">
        <v>293</v>
      </c>
      <c r="B296" s="19" t="s">
        <v>996</v>
      </c>
      <c r="C296" s="19" t="s">
        <v>348</v>
      </c>
      <c r="D296" s="20" t="s">
        <v>1016</v>
      </c>
    </row>
    <row r="297" spans="1:4">
      <c r="A297" s="18">
        <v>294</v>
      </c>
      <c r="B297" s="19" t="s">
        <v>997</v>
      </c>
      <c r="C297" s="19" t="s">
        <v>350</v>
      </c>
      <c r="D297" s="20" t="s">
        <v>1016</v>
      </c>
    </row>
    <row r="298" spans="1:4">
      <c r="A298" s="18">
        <v>295</v>
      </c>
      <c r="B298" s="19" t="s">
        <v>998</v>
      </c>
      <c r="C298" s="19" t="s">
        <v>352</v>
      </c>
      <c r="D298" s="20" t="s">
        <v>1016</v>
      </c>
    </row>
    <row r="299" spans="1:4">
      <c r="A299" s="18">
        <v>296</v>
      </c>
      <c r="B299" s="19" t="s">
        <v>999</v>
      </c>
      <c r="C299" s="19" t="s">
        <v>354</v>
      </c>
      <c r="D299" s="20" t="s">
        <v>1016</v>
      </c>
    </row>
    <row r="300" spans="1:4">
      <c r="A300" s="18">
        <v>297</v>
      </c>
      <c r="B300" s="19" t="s">
        <v>1000</v>
      </c>
      <c r="C300" s="19" t="s">
        <v>360</v>
      </c>
      <c r="D300" s="20" t="s">
        <v>1017</v>
      </c>
    </row>
    <row r="301" spans="1:4">
      <c r="A301" s="18">
        <v>298</v>
      </c>
      <c r="B301" s="19" t="s">
        <v>1001</v>
      </c>
      <c r="C301" s="19" t="s">
        <v>360</v>
      </c>
      <c r="D301" s="20" t="s">
        <v>1017</v>
      </c>
    </row>
    <row r="302" spans="1:4">
      <c r="A302" s="18">
        <v>299</v>
      </c>
      <c r="B302" s="19" t="s">
        <v>1002</v>
      </c>
      <c r="C302" s="19" t="s">
        <v>362</v>
      </c>
      <c r="D302" s="20" t="s">
        <v>1016</v>
      </c>
    </row>
    <row r="303" spans="1:4">
      <c r="A303" s="18">
        <v>300</v>
      </c>
      <c r="B303" s="19" t="s">
        <v>1003</v>
      </c>
      <c r="C303" s="19" t="s">
        <v>364</v>
      </c>
      <c r="D303" s="20" t="s">
        <v>1016</v>
      </c>
    </row>
    <row r="304" spans="1:4">
      <c r="A304" s="18">
        <v>301</v>
      </c>
      <c r="B304" s="19" t="s">
        <v>1004</v>
      </c>
      <c r="C304" s="19" t="s">
        <v>366</v>
      </c>
      <c r="D304" s="20" t="s">
        <v>1016</v>
      </c>
    </row>
    <row r="305" spans="1:4">
      <c r="A305" s="18">
        <v>302</v>
      </c>
      <c r="B305" s="19" t="s">
        <v>1005</v>
      </c>
      <c r="C305" s="19" t="s">
        <v>366</v>
      </c>
      <c r="D305" s="20" t="s">
        <v>1016</v>
      </c>
    </row>
    <row r="306" spans="1:4">
      <c r="A306" s="18">
        <v>303</v>
      </c>
      <c r="B306" s="19" t="s">
        <v>1006</v>
      </c>
      <c r="C306" s="19" t="s">
        <v>368</v>
      </c>
      <c r="D306" s="20" t="s">
        <v>1016</v>
      </c>
    </row>
    <row r="307" spans="1:4">
      <c r="A307" s="18">
        <v>304</v>
      </c>
      <c r="B307" s="19" t="s">
        <v>1007</v>
      </c>
      <c r="C307" s="19" t="s">
        <v>368</v>
      </c>
      <c r="D307" s="20" t="s">
        <v>1016</v>
      </c>
    </row>
    <row r="308" spans="1:4">
      <c r="A308" s="18">
        <v>305</v>
      </c>
      <c r="B308" s="19" t="s">
        <v>1008</v>
      </c>
      <c r="C308" s="19" t="s">
        <v>370</v>
      </c>
      <c r="D308" s="20" t="s">
        <v>1016</v>
      </c>
    </row>
    <row r="309" spans="1:4">
      <c r="A309" s="18">
        <v>306</v>
      </c>
      <c r="B309" s="19" t="s">
        <v>1009</v>
      </c>
      <c r="C309" s="19" t="s">
        <v>372</v>
      </c>
      <c r="D309" s="20" t="s">
        <v>1016</v>
      </c>
    </row>
    <row r="310" spans="1:4">
      <c r="A310" s="18">
        <v>307</v>
      </c>
      <c r="B310" s="19" t="s">
        <v>1010</v>
      </c>
      <c r="C310" s="19" t="s">
        <v>372</v>
      </c>
      <c r="D310" s="20" t="s">
        <v>1016</v>
      </c>
    </row>
    <row r="311" spans="1:4">
      <c r="A311" s="18">
        <v>308</v>
      </c>
      <c r="B311" s="19" t="s">
        <v>1011</v>
      </c>
      <c r="C311" s="19" t="s">
        <v>374</v>
      </c>
      <c r="D311" s="20" t="s">
        <v>1016</v>
      </c>
    </row>
    <row r="312" spans="1:4">
      <c r="A312" s="18">
        <v>309</v>
      </c>
      <c r="B312" s="19" t="s">
        <v>1012</v>
      </c>
      <c r="C312" s="19" t="s">
        <v>374</v>
      </c>
      <c r="D312" s="20" t="s">
        <v>1016</v>
      </c>
    </row>
    <row r="313" spans="1:4">
      <c r="A313" s="18">
        <v>310</v>
      </c>
      <c r="B313" s="19" t="s">
        <v>1013</v>
      </c>
      <c r="C313" s="19" t="s">
        <v>374</v>
      </c>
      <c r="D313" s="20" t="s">
        <v>1016</v>
      </c>
    </row>
    <row r="314" spans="1:4">
      <c r="A314" s="18">
        <v>311</v>
      </c>
      <c r="B314" s="19" t="s">
        <v>1014</v>
      </c>
      <c r="C314" s="19" t="s">
        <v>374</v>
      </c>
      <c r="D314" s="20" t="s">
        <v>1016</v>
      </c>
    </row>
    <row r="315" spans="1:4">
      <c r="A315" s="18">
        <v>312</v>
      </c>
      <c r="B315" s="19" t="s">
        <v>1015</v>
      </c>
      <c r="C315" s="19" t="s">
        <v>374</v>
      </c>
      <c r="D315" s="20" t="s">
        <v>1016</v>
      </c>
    </row>
    <row r="316" spans="1:4">
      <c r="A316" s="21" t="s">
        <v>703</v>
      </c>
      <c r="B316" s="22"/>
      <c r="C316" s="22"/>
      <c r="D316" s="23"/>
    </row>
  </sheetData>
  <mergeCells count="1">
    <mergeCell ref="A1:D1"/>
  </mergeCells>
  <phoneticPr fontId="7" type="noConversion"/>
  <printOptions gridLines="1"/>
  <pageMargins left="0.70866141732283472" right="0.11811023622047245" top="0.35433070866141736" bottom="0.35433070866141736" header="0.31496062992125984" footer="0.31496062992125984"/>
  <pageSetup paperSize="9" scale="99" fitToHeight="0" orientation="portrait" r:id="rId2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CL.SOL5--20251227</vt:lpstr>
      <vt:lpstr>DWG NO.ALL</vt:lpstr>
      <vt:lpstr>圖號清單</vt:lpstr>
      <vt:lpstr>圖號清單!Print_Titles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Wang</dc:creator>
  <cp:lastModifiedBy>Frank Lee</cp:lastModifiedBy>
  <cp:lastPrinted>2026-01-28T08:21:39Z</cp:lastPrinted>
  <dcterms:created xsi:type="dcterms:W3CDTF">2025-12-27T12:14:46Z</dcterms:created>
  <dcterms:modified xsi:type="dcterms:W3CDTF">2026-02-20T03:06:53Z</dcterms:modified>
</cp:coreProperties>
</file>